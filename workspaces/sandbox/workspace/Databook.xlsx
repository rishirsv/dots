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shi/Code/ai-tools/workspace/"/>
    </mc:Choice>
  </mc:AlternateContent>
  <xr:revisionPtr revIDLastSave="0" documentId="13_ncr:1_{A2F6D27E-EA7F-6244-98A6-0AE1E6E9D362}" xr6:coauthVersionLast="47" xr6:coauthVersionMax="47" xr10:uidLastSave="{00000000-0000-0000-0000-000000000000}"/>
  <bookViews>
    <workbookView xWindow="0" yWindow="600" windowWidth="51200" windowHeight="27000" tabRatio="897" activeTab="1" xr2:uid="{00000000-000D-0000-FFFF-FFFF00000000}"/>
  </bookViews>
  <sheets>
    <sheet name="Lease summary" sheetId="76" r:id="rId1"/>
    <sheet name="Revenue | Professional Services" sheetId="58" r:id="rId2"/>
    <sheet name="UPSLIDE_Undo" sheetId="230" state="hidden" r:id="rId3"/>
    <sheet name="UPSLIDE_UndoFormatting" sheetId="209" state="hidden" r:id="rId4"/>
    <sheet name="UPSLIDE_Waterfall" sheetId="77" state="hidden" r:id="rId5"/>
    <sheet name="UPSLIDE_StackedWaterfall" sheetId="54" state="hidden" r:id="rId6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EXPORT31_1_5773456455399.907411_456617332.822054" localSheetId="0" hidden="1">'Lease summary'!$C$7:$P$11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#REF!</definedName>
    <definedName name="_UNDO_UPS_SEL_" hidden="1">#REF!</definedName>
    <definedName name="_UNDO31X31X_" hidden="1">#REF!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3" i="58" l="1"/>
  <c r="AZ32" i="58"/>
  <c r="AZ31" i="58"/>
  <c r="AZ30" i="58"/>
  <c r="AZ34" i="58" l="1"/>
  <c r="B2" i="76" l="1"/>
  <c r="AT34" i="58" l="1"/>
  <c r="AS34" i="58"/>
  <c r="AR34" i="58"/>
  <c r="AP34" i="58"/>
  <c r="AO34" i="58"/>
  <c r="AL34" i="58"/>
  <c r="AK34" i="58"/>
  <c r="AG34" i="58"/>
  <c r="AC34" i="58"/>
  <c r="AB34" i="58"/>
  <c r="Z34" i="58"/>
  <c r="Y34" i="58"/>
  <c r="V34" i="58"/>
  <c r="T34" i="58"/>
  <c r="R34" i="58"/>
  <c r="Q34" i="58"/>
  <c r="N34" i="58"/>
  <c r="M34" i="58"/>
  <c r="K34" i="58"/>
  <c r="J34" i="58"/>
  <c r="I34" i="58"/>
  <c r="U34" i="58"/>
  <c r="BC9" i="58"/>
  <c r="BD9" i="58" s="1"/>
  <c r="BE9" i="58" s="1"/>
  <c r="BF9" i="58" s="1"/>
  <c r="BG9" i="58" s="1"/>
  <c r="BH9" i="58" s="1"/>
  <c r="BI9" i="58" s="1"/>
  <c r="BJ9" i="58" s="1"/>
  <c r="BK9" i="58" s="1"/>
  <c r="BL9" i="58" s="1"/>
  <c r="BM9" i="58" s="1"/>
  <c r="BN9" i="58" s="1"/>
  <c r="BO9" i="58" s="1"/>
  <c r="BP9" i="58" s="1"/>
  <c r="BQ9" i="58" s="1"/>
  <c r="BR9" i="58" s="1"/>
  <c r="BS9" i="58" s="1"/>
  <c r="BT9" i="58" s="1"/>
  <c r="BU9" i="58" s="1"/>
  <c r="BV9" i="58" s="1"/>
  <c r="BW9" i="58" s="1"/>
  <c r="BX9" i="58" s="1"/>
  <c r="BY9" i="58" s="1"/>
  <c r="BZ9" i="58" s="1"/>
  <c r="CA9" i="58" s="1"/>
  <c r="CB9" i="58" s="1"/>
  <c r="CC9" i="58" s="1"/>
  <c r="CD9" i="58" s="1"/>
  <c r="CE9" i="58" s="1"/>
  <c r="CF9" i="58" s="1"/>
  <c r="CG9" i="58" s="1"/>
  <c r="CH9" i="58" s="1"/>
  <c r="CI9" i="58" s="1"/>
  <c r="CJ9" i="58" s="1"/>
  <c r="CK9" i="58" s="1"/>
  <c r="CL9" i="58" s="1"/>
  <c r="CM9" i="58" s="1"/>
  <c r="CN9" i="58" s="1"/>
  <c r="CO9" i="58" s="1"/>
  <c r="CP9" i="58" s="1"/>
  <c r="CQ9" i="58" s="1"/>
  <c r="G9" i="58"/>
  <c r="H9" i="58" s="1"/>
  <c r="I9" i="58" s="1"/>
  <c r="J9" i="58" s="1"/>
  <c r="K9" i="58" s="1"/>
  <c r="L9" i="58" s="1"/>
  <c r="M9" i="58" s="1"/>
  <c r="N9" i="58" s="1"/>
  <c r="O9" i="58" s="1"/>
  <c r="P9" i="58" s="1"/>
  <c r="Q9" i="58" s="1"/>
  <c r="R9" i="58" s="1"/>
  <c r="S9" i="58" s="1"/>
  <c r="BN8" i="58"/>
  <c r="BZ8" i="58" s="1"/>
  <c r="CR8" i="58" s="1"/>
  <c r="B2" i="58"/>
  <c r="T29" i="58" l="1"/>
  <c r="T44" i="58"/>
  <c r="AB44" i="58"/>
  <c r="J44" i="58"/>
  <c r="R44" i="58"/>
  <c r="K14" i="58"/>
  <c r="L39" i="58"/>
  <c r="T39" i="58"/>
  <c r="AB39" i="58"/>
  <c r="AR39" i="58"/>
  <c r="Z44" i="58"/>
  <c r="AC19" i="58"/>
  <c r="L24" i="58"/>
  <c r="T24" i="58"/>
  <c r="AB24" i="58"/>
  <c r="AR24" i="58"/>
  <c r="AA14" i="58"/>
  <c r="AA19" i="58"/>
  <c r="K44" i="58"/>
  <c r="S44" i="58"/>
  <c r="AI44" i="58"/>
  <c r="L14" i="58"/>
  <c r="T14" i="58"/>
  <c r="AB14" i="58"/>
  <c r="AR14" i="58"/>
  <c r="J24" i="58"/>
  <c r="R24" i="58"/>
  <c r="Z24" i="58"/>
  <c r="AP24" i="58"/>
  <c r="G14" i="58"/>
  <c r="O14" i="58"/>
  <c r="W14" i="58"/>
  <c r="AE14" i="58"/>
  <c r="AM14" i="58"/>
  <c r="AU14" i="58"/>
  <c r="I14" i="58"/>
  <c r="Q14" i="58"/>
  <c r="AG14" i="58"/>
  <c r="AO14" i="58"/>
  <c r="K19" i="58"/>
  <c r="S19" i="58"/>
  <c r="M29" i="58"/>
  <c r="AS24" i="58"/>
  <c r="AP44" i="58"/>
  <c r="U14" i="58"/>
  <c r="AS14" i="58"/>
  <c r="N14" i="58"/>
  <c r="V14" i="58"/>
  <c r="AD14" i="58"/>
  <c r="AL14" i="58"/>
  <c r="I29" i="58"/>
  <c r="Y29" i="58"/>
  <c r="S39" i="58"/>
  <c r="M44" i="58"/>
  <c r="U44" i="58"/>
  <c r="AC44" i="58"/>
  <c r="AS44" i="58"/>
  <c r="H14" i="58"/>
  <c r="X14" i="58"/>
  <c r="AF14" i="58"/>
  <c r="J19" i="58"/>
  <c r="K24" i="58"/>
  <c r="S24" i="58"/>
  <c r="AA29" i="58"/>
  <c r="G44" i="58"/>
  <c r="AM44" i="58"/>
  <c r="J14" i="58"/>
  <c r="M24" i="58"/>
  <c r="U24" i="58"/>
  <c r="AC24" i="58"/>
  <c r="AC29" i="58"/>
  <c r="AI14" i="58"/>
  <c r="R14" i="58"/>
  <c r="K29" i="58"/>
  <c r="AI29" i="58"/>
  <c r="AD29" i="58"/>
  <c r="AQ24" i="58"/>
  <c r="AN14" i="58"/>
  <c r="AZ20" i="58"/>
  <c r="AZ21" i="58"/>
  <c r="AZ22" i="58"/>
  <c r="AZ23" i="58"/>
  <c r="AZ25" i="58"/>
  <c r="AZ26" i="58"/>
  <c r="AZ27" i="58"/>
  <c r="AZ28" i="58"/>
  <c r="AZ40" i="58"/>
  <c r="AZ41" i="58"/>
  <c r="AZ42" i="58"/>
  <c r="AZ43" i="58"/>
  <c r="AZ15" i="58"/>
  <c r="AZ16" i="58"/>
  <c r="AZ17" i="58"/>
  <c r="AZ18" i="58"/>
  <c r="AZ35" i="58"/>
  <c r="AZ36" i="58"/>
  <c r="AZ37" i="58"/>
  <c r="AZ38" i="58"/>
  <c r="AZ10" i="58"/>
  <c r="AZ11" i="58"/>
  <c r="AZ12" i="58"/>
  <c r="AZ13" i="58"/>
  <c r="AA44" i="58"/>
  <c r="AA24" i="58"/>
  <c r="P14" i="58"/>
  <c r="S29" i="58"/>
  <c r="Z19" i="58"/>
  <c r="Y14" i="58"/>
  <c r="AK24" i="58"/>
  <c r="AK44" i="58"/>
  <c r="AK19" i="58"/>
  <c r="AJ39" i="58"/>
  <c r="AJ34" i="58"/>
  <c r="AY35" i="58"/>
  <c r="AY36" i="58"/>
  <c r="AY37" i="58"/>
  <c r="AY38" i="58"/>
  <c r="AH34" i="58"/>
  <c r="AY30" i="58"/>
  <c r="AY31" i="58"/>
  <c r="AY32" i="58"/>
  <c r="AY33" i="58"/>
  <c r="AH24" i="58"/>
  <c r="AY20" i="58"/>
  <c r="AY21" i="58"/>
  <c r="AY22" i="58"/>
  <c r="AY23" i="58"/>
  <c r="AY25" i="58"/>
  <c r="AY26" i="58"/>
  <c r="AY27" i="58"/>
  <c r="AY28" i="58"/>
  <c r="AY15" i="58"/>
  <c r="AY16" i="58"/>
  <c r="AY17" i="58"/>
  <c r="AY18" i="58"/>
  <c r="AH14" i="58"/>
  <c r="AY10" i="58"/>
  <c r="AY11" i="58"/>
  <c r="AY12" i="58"/>
  <c r="AY13" i="58"/>
  <c r="AH44" i="58"/>
  <c r="AY40" i="58"/>
  <c r="AY41" i="58"/>
  <c r="AY42" i="58"/>
  <c r="AY43" i="58"/>
  <c r="AQ44" i="58"/>
  <c r="AQ29" i="58"/>
  <c r="AQ14" i="58"/>
  <c r="AR44" i="58"/>
  <c r="S34" i="58"/>
  <c r="L44" i="58"/>
  <c r="AT14" i="58"/>
  <c r="R39" i="58"/>
  <c r="AP14" i="58"/>
  <c r="AI24" i="58"/>
  <c r="AJ44" i="58"/>
  <c r="Z29" i="58"/>
  <c r="R29" i="58"/>
  <c r="AJ19" i="58"/>
  <c r="AQ19" i="58"/>
  <c r="AV42" i="58"/>
  <c r="AV43" i="58"/>
  <c r="AL44" i="58"/>
  <c r="AV41" i="58"/>
  <c r="F24" i="58"/>
  <c r="AV20" i="58"/>
  <c r="AV21" i="58"/>
  <c r="AV22" i="58"/>
  <c r="AV23" i="58"/>
  <c r="F29" i="58"/>
  <c r="AV25" i="58"/>
  <c r="AV26" i="58"/>
  <c r="AV27" i="58"/>
  <c r="AV28" i="58"/>
  <c r="AV40" i="58"/>
  <c r="F44" i="58"/>
  <c r="AV15" i="58"/>
  <c r="F19" i="58"/>
  <c r="AV16" i="58"/>
  <c r="AV17" i="58"/>
  <c r="AV18" i="58"/>
  <c r="AJ14" i="58"/>
  <c r="F14" i="58"/>
  <c r="AV10" i="58"/>
  <c r="AV11" i="58"/>
  <c r="AV12" i="58"/>
  <c r="AV13" i="58"/>
  <c r="AI19" i="58"/>
  <c r="F39" i="58"/>
  <c r="AV35" i="58"/>
  <c r="AV36" i="58"/>
  <c r="AV37" i="58"/>
  <c r="AV38" i="58"/>
  <c r="AV30" i="58"/>
  <c r="F34" i="58"/>
  <c r="AV31" i="58"/>
  <c r="AV32" i="58"/>
  <c r="AV33" i="58"/>
  <c r="Q39" i="58"/>
  <c r="AS19" i="58"/>
  <c r="AG39" i="58"/>
  <c r="M19" i="58"/>
  <c r="U19" i="58"/>
  <c r="R19" i="58"/>
  <c r="L34" i="58"/>
  <c r="S14" i="58"/>
  <c r="T9" i="58"/>
  <c r="U9" i="58" s="1"/>
  <c r="V9" i="58" s="1"/>
  <c r="W9" i="58" s="1"/>
  <c r="X9" i="58" s="1"/>
  <c r="Y9" i="58" s="1"/>
  <c r="Z9" i="58" s="1"/>
  <c r="AA9" i="58" s="1"/>
  <c r="AB9" i="58" s="1"/>
  <c r="AC9" i="58" s="1"/>
  <c r="AD9" i="58" s="1"/>
  <c r="AE9" i="58" s="1"/>
  <c r="AF9" i="58" s="1"/>
  <c r="AG9" i="58" s="1"/>
  <c r="AH9" i="58" s="1"/>
  <c r="AI9" i="58" s="1"/>
  <c r="AJ9" i="58" s="1"/>
  <c r="AK9" i="58" s="1"/>
  <c r="AL9" i="58" s="1"/>
  <c r="AM9" i="58" s="1"/>
  <c r="AN9" i="58" s="1"/>
  <c r="AO9" i="58" s="1"/>
  <c r="AC14" i="58"/>
  <c r="Z14" i="58"/>
  <c r="M14" i="58"/>
  <c r="J39" i="58"/>
  <c r="Z39" i="58"/>
  <c r="AH39" i="58"/>
  <c r="AP39" i="58"/>
  <c r="N39" i="58"/>
  <c r="AD39" i="58"/>
  <c r="K39" i="58"/>
  <c r="AA39" i="58"/>
  <c r="AI39" i="58"/>
  <c r="AQ39" i="58"/>
  <c r="M39" i="58"/>
  <c r="U39" i="58"/>
  <c r="AC39" i="58"/>
  <c r="AK39" i="58"/>
  <c r="AS39" i="58"/>
  <c r="H39" i="58"/>
  <c r="AF39" i="58"/>
  <c r="I39" i="58"/>
  <c r="Y39" i="58"/>
  <c r="AO39" i="58"/>
  <c r="U29" i="58"/>
  <c r="AW38" i="58"/>
  <c r="Q29" i="58"/>
  <c r="G24" i="58"/>
  <c r="AB29" i="58"/>
  <c r="AJ24" i="58"/>
  <c r="AX42" i="58"/>
  <c r="AW43" i="58"/>
  <c r="N44" i="58"/>
  <c r="AT44" i="58"/>
  <c r="AX43" i="58"/>
  <c r="AX13" i="58"/>
  <c r="AX41" i="58"/>
  <c r="AW42" i="58"/>
  <c r="O44" i="58"/>
  <c r="AU44" i="58"/>
  <c r="AX40" i="58"/>
  <c r="AW41" i="58"/>
  <c r="V44" i="58"/>
  <c r="AW40" i="58"/>
  <c r="W44" i="58"/>
  <c r="L29" i="58"/>
  <c r="AA34" i="58"/>
  <c r="AI34" i="58"/>
  <c r="AQ34" i="58"/>
  <c r="AD44" i="58"/>
  <c r="AE44" i="58"/>
  <c r="H44" i="58"/>
  <c r="P44" i="58"/>
  <c r="X44" i="58"/>
  <c r="AF44" i="58"/>
  <c r="AN44" i="58"/>
  <c r="I44" i="58"/>
  <c r="Q44" i="58"/>
  <c r="Y44" i="58"/>
  <c r="AG44" i="58"/>
  <c r="AO44" i="58"/>
  <c r="P39" i="58"/>
  <c r="X39" i="58"/>
  <c r="AN39" i="58"/>
  <c r="AR29" i="58"/>
  <c r="AX37" i="58"/>
  <c r="V39" i="58"/>
  <c r="AW36" i="58"/>
  <c r="AX35" i="58"/>
  <c r="AL39" i="58"/>
  <c r="AX38" i="58"/>
  <c r="AT39" i="58"/>
  <c r="AJ29" i="58"/>
  <c r="AW37" i="58"/>
  <c r="AX36" i="58"/>
  <c r="AW35" i="58"/>
  <c r="G39" i="58"/>
  <c r="O39" i="58"/>
  <c r="W39" i="58"/>
  <c r="AE39" i="58"/>
  <c r="AM39" i="58"/>
  <c r="AU39" i="58"/>
  <c r="AW32" i="58"/>
  <c r="AX32" i="58"/>
  <c r="AW31" i="58"/>
  <c r="AX31" i="58"/>
  <c r="AB19" i="58"/>
  <c r="G34" i="58"/>
  <c r="L19" i="58"/>
  <c r="T19" i="58"/>
  <c r="O34" i="58"/>
  <c r="W34" i="58"/>
  <c r="AH19" i="58"/>
  <c r="AE34" i="58"/>
  <c r="AP19" i="58"/>
  <c r="AX30" i="58"/>
  <c r="AW30" i="58"/>
  <c r="AM34" i="58"/>
  <c r="AX33" i="58"/>
  <c r="AW33" i="58"/>
  <c r="AU34" i="58"/>
  <c r="AP29" i="58"/>
  <c r="AD34" i="58"/>
  <c r="J29" i="58"/>
  <c r="H34" i="58"/>
  <c r="P34" i="58"/>
  <c r="X34" i="58"/>
  <c r="AF34" i="58"/>
  <c r="AN34" i="58"/>
  <c r="AH29" i="58"/>
  <c r="AW27" i="58"/>
  <c r="V29" i="58"/>
  <c r="AO29" i="58"/>
  <c r="AX28" i="58"/>
  <c r="AG29" i="58"/>
  <c r="N29" i="58"/>
  <c r="AK29" i="58"/>
  <c r="AS29" i="58"/>
  <c r="AL29" i="58"/>
  <c r="AX26" i="58"/>
  <c r="AX25" i="58"/>
  <c r="AW26" i="58"/>
  <c r="AT29" i="58"/>
  <c r="AX27" i="58"/>
  <c r="AW28" i="58"/>
  <c r="AW25" i="58"/>
  <c r="G29" i="58"/>
  <c r="O29" i="58"/>
  <c r="W29" i="58"/>
  <c r="AE29" i="58"/>
  <c r="AM29" i="58"/>
  <c r="AU29" i="58"/>
  <c r="H29" i="58"/>
  <c r="P29" i="58"/>
  <c r="X29" i="58"/>
  <c r="AF29" i="58"/>
  <c r="AN29" i="58"/>
  <c r="AW20" i="58"/>
  <c r="AW21" i="58"/>
  <c r="AR19" i="58"/>
  <c r="AW18" i="58"/>
  <c r="AW23" i="58"/>
  <c r="O24" i="58"/>
  <c r="AW22" i="58"/>
  <c r="W24" i="58"/>
  <c r="AM24" i="58"/>
  <c r="AU24" i="58"/>
  <c r="AE24" i="58"/>
  <c r="N24" i="58"/>
  <c r="V24" i="58"/>
  <c r="AD24" i="58"/>
  <c r="AL24" i="58"/>
  <c r="AT24" i="58"/>
  <c r="AX20" i="58"/>
  <c r="AX21" i="58"/>
  <c r="AX22" i="58"/>
  <c r="AX23" i="58"/>
  <c r="H24" i="58"/>
  <c r="P24" i="58"/>
  <c r="X24" i="58"/>
  <c r="AF24" i="58"/>
  <c r="AN24" i="58"/>
  <c r="I24" i="58"/>
  <c r="Q24" i="58"/>
  <c r="Y24" i="58"/>
  <c r="AG24" i="58"/>
  <c r="AO24" i="58"/>
  <c r="AX11" i="58"/>
  <c r="AX12" i="58"/>
  <c r="AW16" i="58"/>
  <c r="AW17" i="58"/>
  <c r="AW15" i="58"/>
  <c r="G19" i="58"/>
  <c r="O19" i="58"/>
  <c r="W19" i="58"/>
  <c r="AE19" i="58"/>
  <c r="AM19" i="58"/>
  <c r="AU19" i="58"/>
  <c r="N19" i="58"/>
  <c r="V19" i="58"/>
  <c r="AD19" i="58"/>
  <c r="AL19" i="58"/>
  <c r="AT19" i="58"/>
  <c r="AX15" i="58"/>
  <c r="AX16" i="58"/>
  <c r="AX17" i="58"/>
  <c r="AX18" i="58"/>
  <c r="H19" i="58"/>
  <c r="P19" i="58"/>
  <c r="X19" i="58"/>
  <c r="AF19" i="58"/>
  <c r="AN19" i="58"/>
  <c r="I19" i="58"/>
  <c r="Q19" i="58"/>
  <c r="Y19" i="58"/>
  <c r="AG19" i="58"/>
  <c r="AO19" i="58"/>
  <c r="AW10" i="58"/>
  <c r="AX10" i="58"/>
  <c r="AW11" i="58"/>
  <c r="AW12" i="58"/>
  <c r="AW13" i="58"/>
  <c r="AK14" i="58"/>
  <c r="T45" i="58" l="1"/>
  <c r="BP37" i="58" s="1"/>
  <c r="AZ14" i="58"/>
  <c r="AZ19" i="58"/>
  <c r="AZ29" i="58"/>
  <c r="AZ39" i="58"/>
  <c r="AZ44" i="58"/>
  <c r="AZ24" i="58"/>
  <c r="AY14" i="58"/>
  <c r="AY29" i="58"/>
  <c r="AY34" i="58"/>
  <c r="AY44" i="58"/>
  <c r="AY19" i="58"/>
  <c r="AY24" i="58"/>
  <c r="AY39" i="58"/>
  <c r="R45" i="58"/>
  <c r="BN35" i="58" s="1"/>
  <c r="F45" i="58"/>
  <c r="S45" i="58"/>
  <c r="BO14" i="58" s="1"/>
  <c r="AP9" i="58"/>
  <c r="AQ9" i="58" s="1"/>
  <c r="AR9" i="58" s="1"/>
  <c r="AS9" i="58" s="1"/>
  <c r="AT9" i="58" s="1"/>
  <c r="AU9" i="58" s="1"/>
  <c r="AJ45" i="58"/>
  <c r="CF31" i="58" s="1"/>
  <c r="AR45" i="58"/>
  <c r="CN36" i="58" s="1"/>
  <c r="L45" i="58"/>
  <c r="BH22" i="58" s="1"/>
  <c r="AB45" i="58"/>
  <c r="BX24" i="58" s="1"/>
  <c r="Q45" i="58"/>
  <c r="BM35" i="58" s="1"/>
  <c r="AG45" i="58"/>
  <c r="CC32" i="58" s="1"/>
  <c r="AT45" i="58"/>
  <c r="CP39" i="58" s="1"/>
  <c r="I45" i="58"/>
  <c r="M45" i="58"/>
  <c r="BI39" i="58" s="1"/>
  <c r="O45" i="58"/>
  <c r="AN45" i="58"/>
  <c r="AF45" i="58"/>
  <c r="CB39" i="58" s="1"/>
  <c r="AA45" i="58"/>
  <c r="AP45" i="58"/>
  <c r="V45" i="58"/>
  <c r="AS45" i="58"/>
  <c r="CO39" i="58" s="1"/>
  <c r="G45" i="58"/>
  <c r="X45" i="58"/>
  <c r="AO45" i="58"/>
  <c r="CK39" i="58" s="1"/>
  <c r="AK45" i="58"/>
  <c r="W45" i="58"/>
  <c r="BS39" i="58" s="1"/>
  <c r="AL45" i="58"/>
  <c r="P45" i="58"/>
  <c r="BL39" i="58" s="1"/>
  <c r="Y45" i="58"/>
  <c r="BP45" i="58"/>
  <c r="BP42" i="58"/>
  <c r="BP34" i="58"/>
  <c r="BP44" i="58"/>
  <c r="BP43" i="58"/>
  <c r="BP32" i="58"/>
  <c r="BP29" i="58"/>
  <c r="BP30" i="58"/>
  <c r="BP26" i="58"/>
  <c r="BP22" i="58"/>
  <c r="BP25" i="58"/>
  <c r="BP21" i="58"/>
  <c r="BP19" i="58"/>
  <c r="BP17" i="58"/>
  <c r="BP31" i="58"/>
  <c r="BP28" i="58"/>
  <c r="BP24" i="58"/>
  <c r="BP41" i="58"/>
  <c r="BP40" i="58"/>
  <c r="BP27" i="58"/>
  <c r="BP23" i="58"/>
  <c r="BP20" i="58"/>
  <c r="BP18" i="58"/>
  <c r="BP16" i="58"/>
  <c r="BP15" i="58"/>
  <c r="BP33" i="58"/>
  <c r="BP14" i="58"/>
  <c r="BP12" i="58"/>
  <c r="BP10" i="58"/>
  <c r="BP13" i="58"/>
  <c r="BP11" i="58"/>
  <c r="BP38" i="58"/>
  <c r="AD45" i="58"/>
  <c r="BZ39" i="58" s="1"/>
  <c r="AH45" i="58"/>
  <c r="AC45" i="58"/>
  <c r="AU45" i="58"/>
  <c r="CQ39" i="58" s="1"/>
  <c r="H45" i="58"/>
  <c r="BP35" i="58"/>
  <c r="AQ45" i="58"/>
  <c r="CM39" i="58" s="1"/>
  <c r="K45" i="58"/>
  <c r="Z45" i="58"/>
  <c r="AM45" i="58"/>
  <c r="CI39" i="58" s="1"/>
  <c r="U45" i="58"/>
  <c r="N45" i="58"/>
  <c r="BJ39" i="58" s="1"/>
  <c r="AE45" i="58"/>
  <c r="CA39" i="58" s="1"/>
  <c r="BP36" i="58"/>
  <c r="AI45" i="58"/>
  <c r="BP39" i="58"/>
  <c r="J45" i="58"/>
  <c r="AW44" i="58"/>
  <c r="AV44" i="58"/>
  <c r="AX44" i="58"/>
  <c r="AX39" i="58"/>
  <c r="AW39" i="58"/>
  <c r="AV39" i="58"/>
  <c r="AW14" i="58"/>
  <c r="AW34" i="58"/>
  <c r="AV34" i="58"/>
  <c r="AX34" i="58"/>
  <c r="AW29" i="58"/>
  <c r="AV29" i="58"/>
  <c r="AX29" i="58"/>
  <c r="AV24" i="58"/>
  <c r="AW24" i="58"/>
  <c r="AX24" i="58"/>
  <c r="AV19" i="58"/>
  <c r="AX14" i="58"/>
  <c r="AV14" i="58"/>
  <c r="AX19" i="58"/>
  <c r="AW19" i="58"/>
  <c r="AZ45" i="58" l="1"/>
  <c r="CV29" i="58" s="1"/>
  <c r="BN20" i="58"/>
  <c r="AY45" i="58"/>
  <c r="CU44" i="58" s="1"/>
  <c r="BN34" i="58"/>
  <c r="BN40" i="58"/>
  <c r="BN42" i="58"/>
  <c r="BN10" i="58"/>
  <c r="BN22" i="58"/>
  <c r="BN43" i="58"/>
  <c r="BN11" i="58"/>
  <c r="BN24" i="58"/>
  <c r="BN45" i="58"/>
  <c r="BN36" i="58"/>
  <c r="BN13" i="58"/>
  <c r="BN26" i="58"/>
  <c r="BN44" i="58"/>
  <c r="BN17" i="58"/>
  <c r="BN19" i="58"/>
  <c r="BN30" i="58"/>
  <c r="BN27" i="58"/>
  <c r="BN21" i="58"/>
  <c r="BN32" i="58"/>
  <c r="BN38" i="58"/>
  <c r="BN39" i="58"/>
  <c r="BN12" i="58"/>
  <c r="BN31" i="58"/>
  <c r="BN28" i="58"/>
  <c r="BN14" i="58"/>
  <c r="BN16" i="58"/>
  <c r="BN23" i="58"/>
  <c r="BN33" i="58"/>
  <c r="BN29" i="58"/>
  <c r="BN15" i="58"/>
  <c r="BN18" i="58"/>
  <c r="BN25" i="58"/>
  <c r="BN41" i="58"/>
  <c r="BN37" i="58"/>
  <c r="CN31" i="58"/>
  <c r="CN43" i="58"/>
  <c r="BM41" i="58"/>
  <c r="BO43" i="58"/>
  <c r="BO37" i="58"/>
  <c r="BO42" i="58"/>
  <c r="BO40" i="58"/>
  <c r="BO32" i="58"/>
  <c r="BO18" i="58"/>
  <c r="BO30" i="58"/>
  <c r="BO35" i="58"/>
  <c r="BO27" i="58"/>
  <c r="BO25" i="58"/>
  <c r="BO17" i="58"/>
  <c r="BO22" i="58"/>
  <c r="BO20" i="58"/>
  <c r="BO16" i="58"/>
  <c r="BO15" i="58"/>
  <c r="BO39" i="58"/>
  <c r="BO38" i="58"/>
  <c r="BO45" i="58"/>
  <c r="BO44" i="58"/>
  <c r="BO36" i="58"/>
  <c r="BO41" i="58"/>
  <c r="BO33" i="58"/>
  <c r="BO29" i="58"/>
  <c r="BO34" i="58"/>
  <c r="BO26" i="58"/>
  <c r="BO31" i="58"/>
  <c r="BO21" i="58"/>
  <c r="BO23" i="58"/>
  <c r="BO28" i="58"/>
  <c r="BO19" i="58"/>
  <c r="BO24" i="58"/>
  <c r="BO10" i="58"/>
  <c r="BO11" i="58"/>
  <c r="BO12" i="58"/>
  <c r="BO13" i="58"/>
  <c r="CC43" i="58"/>
  <c r="BM12" i="58"/>
  <c r="CF29" i="58"/>
  <c r="BM25" i="58"/>
  <c r="CN12" i="58"/>
  <c r="CN42" i="58"/>
  <c r="BM13" i="58"/>
  <c r="BM16" i="58"/>
  <c r="BM34" i="58"/>
  <c r="CN13" i="58"/>
  <c r="CF35" i="58"/>
  <c r="CF45" i="58"/>
  <c r="CF19" i="58"/>
  <c r="CF36" i="58"/>
  <c r="BM14" i="58"/>
  <c r="BM44" i="58"/>
  <c r="BM15" i="58"/>
  <c r="BM27" i="58"/>
  <c r="BM21" i="58"/>
  <c r="BM31" i="58"/>
  <c r="BM24" i="58"/>
  <c r="BM40" i="58"/>
  <c r="BM43" i="58"/>
  <c r="CF23" i="58"/>
  <c r="CF12" i="58"/>
  <c r="BM18" i="58"/>
  <c r="BM32" i="58"/>
  <c r="CN26" i="58"/>
  <c r="CN35" i="58"/>
  <c r="CF14" i="58"/>
  <c r="BM10" i="58"/>
  <c r="BM22" i="58"/>
  <c r="BM29" i="58"/>
  <c r="CN19" i="58"/>
  <c r="CN37" i="58"/>
  <c r="BM36" i="58"/>
  <c r="CC16" i="58"/>
  <c r="CF42" i="58"/>
  <c r="BX17" i="58"/>
  <c r="BX34" i="58"/>
  <c r="BX26" i="58"/>
  <c r="BX19" i="58"/>
  <c r="CF40" i="58"/>
  <c r="CF44" i="58"/>
  <c r="CF10" i="58"/>
  <c r="CF20" i="58"/>
  <c r="CF26" i="58"/>
  <c r="CC17" i="58"/>
  <c r="CF11" i="58"/>
  <c r="CF37" i="58"/>
  <c r="CC18" i="58"/>
  <c r="CF18" i="58"/>
  <c r="CF32" i="58"/>
  <c r="CF34" i="58"/>
  <c r="CC28" i="58"/>
  <c r="CF16" i="58"/>
  <c r="CF13" i="58"/>
  <c r="CF17" i="58"/>
  <c r="CN20" i="58"/>
  <c r="CN41" i="58"/>
  <c r="BX32" i="58"/>
  <c r="BH32" i="58"/>
  <c r="CN23" i="58"/>
  <c r="BH31" i="58"/>
  <c r="CN28" i="58"/>
  <c r="BH44" i="58"/>
  <c r="BH38" i="58"/>
  <c r="BH10" i="58"/>
  <c r="BH42" i="58"/>
  <c r="BM11" i="58"/>
  <c r="BM20" i="58"/>
  <c r="BM23" i="58"/>
  <c r="BM33" i="58"/>
  <c r="CC25" i="58"/>
  <c r="BH16" i="58"/>
  <c r="CF38" i="58"/>
  <c r="CF28" i="58"/>
  <c r="CF39" i="58"/>
  <c r="CF43" i="58"/>
  <c r="CF41" i="58"/>
  <c r="BM17" i="58"/>
  <c r="BM26" i="58"/>
  <c r="BM42" i="58"/>
  <c r="BM45" i="58"/>
  <c r="CC10" i="58"/>
  <c r="CC31" i="58"/>
  <c r="CF24" i="58"/>
  <c r="BH13" i="58"/>
  <c r="CF21" i="58"/>
  <c r="CF25" i="58"/>
  <c r="CF27" i="58"/>
  <c r="CF15" i="58"/>
  <c r="BM19" i="58"/>
  <c r="BM28" i="58"/>
  <c r="BM30" i="58"/>
  <c r="CC12" i="58"/>
  <c r="BH40" i="58"/>
  <c r="BH21" i="58"/>
  <c r="CF30" i="58"/>
  <c r="CF33" i="58"/>
  <c r="CF22" i="58"/>
  <c r="CC21" i="58"/>
  <c r="CC27" i="58"/>
  <c r="CC45" i="58"/>
  <c r="BH29" i="58"/>
  <c r="BH12" i="58"/>
  <c r="BH35" i="58"/>
  <c r="BH39" i="58"/>
  <c r="BH43" i="58"/>
  <c r="CC14" i="58"/>
  <c r="CC42" i="58"/>
  <c r="CC30" i="58"/>
  <c r="BH37" i="58"/>
  <c r="BH33" i="58"/>
  <c r="BH28" i="58"/>
  <c r="BH30" i="58"/>
  <c r="BH23" i="58"/>
  <c r="BH25" i="58"/>
  <c r="CC11" i="58"/>
  <c r="CC22" i="58"/>
  <c r="CC33" i="58"/>
  <c r="BH14" i="58"/>
  <c r="BH24" i="58"/>
  <c r="BH11" i="58"/>
  <c r="BH36" i="58"/>
  <c r="BH41" i="58"/>
  <c r="CC34" i="58"/>
  <c r="CC24" i="58"/>
  <c r="CC41" i="58"/>
  <c r="BH26" i="58"/>
  <c r="BH45" i="58"/>
  <c r="BH18" i="58"/>
  <c r="BH15" i="58"/>
  <c r="BH19" i="58"/>
  <c r="BH20" i="58"/>
  <c r="CC15" i="58"/>
  <c r="CC23" i="58"/>
  <c r="CC40" i="58"/>
  <c r="BH34" i="58"/>
  <c r="BH27" i="58"/>
  <c r="BH17" i="58"/>
  <c r="CN10" i="58"/>
  <c r="CN22" i="58"/>
  <c r="CN27" i="58"/>
  <c r="CN33" i="58"/>
  <c r="BX45" i="58"/>
  <c r="BX16" i="58"/>
  <c r="BX27" i="58"/>
  <c r="BX12" i="58"/>
  <c r="BX41" i="58"/>
  <c r="CN14" i="58"/>
  <c r="CN34" i="58"/>
  <c r="CN24" i="58"/>
  <c r="CN40" i="58"/>
  <c r="BX40" i="58"/>
  <c r="BX11" i="58"/>
  <c r="BX39" i="58"/>
  <c r="BX28" i="58"/>
  <c r="CN16" i="58"/>
  <c r="CN15" i="58"/>
  <c r="CN29" i="58"/>
  <c r="CN44" i="58"/>
  <c r="BX38" i="58"/>
  <c r="BX25" i="58"/>
  <c r="BX36" i="58"/>
  <c r="BX33" i="58"/>
  <c r="CN39" i="58"/>
  <c r="CN18" i="58"/>
  <c r="CN17" i="58"/>
  <c r="CN32" i="58"/>
  <c r="CN45" i="58"/>
  <c r="BX35" i="58"/>
  <c r="BX23" i="58"/>
  <c r="BX10" i="58"/>
  <c r="BX37" i="58"/>
  <c r="CN38" i="58"/>
  <c r="BX20" i="58"/>
  <c r="BX30" i="58"/>
  <c r="BX22" i="58"/>
  <c r="BX14" i="58"/>
  <c r="CN11" i="58"/>
  <c r="CN25" i="58"/>
  <c r="CN21" i="58"/>
  <c r="CN30" i="58"/>
  <c r="BX18" i="58"/>
  <c r="BX21" i="58"/>
  <c r="BX13" i="58"/>
  <c r="BX31" i="58"/>
  <c r="BX15" i="58"/>
  <c r="BX42" i="58"/>
  <c r="BX43" i="58"/>
  <c r="BX29" i="58"/>
  <c r="BX44" i="58"/>
  <c r="BM37" i="58"/>
  <c r="BM39" i="58"/>
  <c r="BM38" i="58"/>
  <c r="CC19" i="58"/>
  <c r="CC26" i="58"/>
  <c r="CC35" i="58"/>
  <c r="CC38" i="58"/>
  <c r="CC39" i="58"/>
  <c r="CC36" i="58"/>
  <c r="CC37" i="58"/>
  <c r="CC13" i="58"/>
  <c r="CC20" i="58"/>
  <c r="CC44" i="58"/>
  <c r="CC29" i="58"/>
  <c r="AX45" i="58"/>
  <c r="CT39" i="58" s="1"/>
  <c r="CE45" i="58"/>
  <c r="CE44" i="58"/>
  <c r="CE42" i="58"/>
  <c r="CE40" i="58"/>
  <c r="CE34" i="58"/>
  <c r="CE41" i="58"/>
  <c r="CE33" i="58"/>
  <c r="CE43" i="58"/>
  <c r="CE32" i="58"/>
  <c r="CE30" i="58"/>
  <c r="CE28" i="58"/>
  <c r="CE31" i="58"/>
  <c r="CE26" i="58"/>
  <c r="CE22" i="58"/>
  <c r="CE24" i="58"/>
  <c r="CE17" i="58"/>
  <c r="CE27" i="58"/>
  <c r="CE20" i="58"/>
  <c r="CE15" i="58"/>
  <c r="CE23" i="58"/>
  <c r="CE18" i="58"/>
  <c r="CE14" i="58"/>
  <c r="CE12" i="58"/>
  <c r="CE10" i="58"/>
  <c r="CE21" i="58"/>
  <c r="CE16" i="58"/>
  <c r="CE29" i="58"/>
  <c r="CE25" i="58"/>
  <c r="CE19" i="58"/>
  <c r="CE13" i="58"/>
  <c r="CE11" i="58"/>
  <c r="CE37" i="58"/>
  <c r="CE35" i="58"/>
  <c r="CE36" i="58"/>
  <c r="CE38" i="58"/>
  <c r="BB45" i="58"/>
  <c r="BB44" i="58"/>
  <c r="BB42" i="58"/>
  <c r="BB40" i="58"/>
  <c r="BB34" i="58"/>
  <c r="BB32" i="58"/>
  <c r="BB30" i="58"/>
  <c r="BB41" i="58"/>
  <c r="BB33" i="58"/>
  <c r="BB31" i="58"/>
  <c r="BB28" i="58"/>
  <c r="BB26" i="58"/>
  <c r="BB24" i="58"/>
  <c r="BB43" i="58"/>
  <c r="BB29" i="58"/>
  <c r="BB27" i="58"/>
  <c r="BB25" i="58"/>
  <c r="BB23" i="58"/>
  <c r="BB21" i="58"/>
  <c r="BB19" i="58"/>
  <c r="BB17" i="58"/>
  <c r="BB22" i="58"/>
  <c r="BB20" i="58"/>
  <c r="BB18" i="58"/>
  <c r="BB16" i="58"/>
  <c r="BB14" i="58"/>
  <c r="BB12" i="58"/>
  <c r="BB10" i="58"/>
  <c r="BB15" i="58"/>
  <c r="BB13" i="58"/>
  <c r="BB11" i="58"/>
  <c r="BB35" i="58"/>
  <c r="BB36" i="58"/>
  <c r="BB38" i="58"/>
  <c r="BB37" i="58"/>
  <c r="CG45" i="58"/>
  <c r="CG44" i="58"/>
  <c r="CG40" i="58"/>
  <c r="CG32" i="58"/>
  <c r="CG30" i="58"/>
  <c r="CG28" i="58"/>
  <c r="CG43" i="58"/>
  <c r="CG31" i="58"/>
  <c r="CG29" i="58"/>
  <c r="CG33" i="58"/>
  <c r="CG42" i="58"/>
  <c r="CG26" i="58"/>
  <c r="CG24" i="58"/>
  <c r="CG22" i="58"/>
  <c r="CG41" i="58"/>
  <c r="CG34" i="58"/>
  <c r="CG27" i="58"/>
  <c r="CG25" i="58"/>
  <c r="CG23" i="58"/>
  <c r="CG21" i="58"/>
  <c r="CG19" i="58"/>
  <c r="CG17" i="58"/>
  <c r="CG15" i="58"/>
  <c r="CG20" i="58"/>
  <c r="CG18" i="58"/>
  <c r="CG16" i="58"/>
  <c r="CG14" i="58"/>
  <c r="CG12" i="58"/>
  <c r="CG10" i="58"/>
  <c r="CG13" i="58"/>
  <c r="CG11" i="58"/>
  <c r="CG38" i="58"/>
  <c r="CG37" i="58"/>
  <c r="CG35" i="58"/>
  <c r="CG36" i="58"/>
  <c r="CE39" i="58"/>
  <c r="BB39" i="58"/>
  <c r="BG45" i="58"/>
  <c r="BG44" i="58"/>
  <c r="BG42" i="58"/>
  <c r="BG40" i="58"/>
  <c r="BG34" i="58"/>
  <c r="BG43" i="58"/>
  <c r="BG29" i="58"/>
  <c r="BG30" i="58"/>
  <c r="BG32" i="58"/>
  <c r="BG28" i="58"/>
  <c r="BG24" i="58"/>
  <c r="BG33" i="58"/>
  <c r="BG26" i="58"/>
  <c r="BG41" i="58"/>
  <c r="BG31" i="58"/>
  <c r="BG25" i="58"/>
  <c r="BG18" i="58"/>
  <c r="BG21" i="58"/>
  <c r="BG16" i="58"/>
  <c r="BG14" i="58"/>
  <c r="BG12" i="58"/>
  <c r="BG10" i="58"/>
  <c r="BG27" i="58"/>
  <c r="BG19" i="58"/>
  <c r="BG22" i="58"/>
  <c r="BG23" i="58"/>
  <c r="BG17" i="58"/>
  <c r="BG20" i="58"/>
  <c r="BG15" i="58"/>
  <c r="BG13" i="58"/>
  <c r="BG11" i="58"/>
  <c r="BG38" i="58"/>
  <c r="BG35" i="58"/>
  <c r="BG37" i="58"/>
  <c r="BG36" i="58"/>
  <c r="BU45" i="58"/>
  <c r="BU31" i="58"/>
  <c r="BU29" i="58"/>
  <c r="BU42" i="58"/>
  <c r="BU34" i="58"/>
  <c r="BU43" i="58"/>
  <c r="BU32" i="58"/>
  <c r="BU30" i="58"/>
  <c r="BU28" i="58"/>
  <c r="BU41" i="58"/>
  <c r="BU27" i="58"/>
  <c r="BU25" i="58"/>
  <c r="BU23" i="58"/>
  <c r="BU44" i="58"/>
  <c r="BU40" i="58"/>
  <c r="BU33" i="58"/>
  <c r="BU26" i="58"/>
  <c r="BU24" i="58"/>
  <c r="BU22" i="58"/>
  <c r="BU20" i="58"/>
  <c r="BU18" i="58"/>
  <c r="BU16" i="58"/>
  <c r="BU21" i="58"/>
  <c r="BU19" i="58"/>
  <c r="BU17" i="58"/>
  <c r="BU15" i="58"/>
  <c r="BU13" i="58"/>
  <c r="BU11" i="58"/>
  <c r="BU14" i="58"/>
  <c r="BU12" i="58"/>
  <c r="BU10" i="58"/>
  <c r="BU36" i="58"/>
  <c r="BU35" i="58"/>
  <c r="BU38" i="58"/>
  <c r="BU37" i="58"/>
  <c r="CG39" i="58"/>
  <c r="BT45" i="58"/>
  <c r="BT41" i="58"/>
  <c r="BT33" i="58"/>
  <c r="BT42" i="58"/>
  <c r="BT34" i="58"/>
  <c r="BT31" i="58"/>
  <c r="BT43" i="58"/>
  <c r="BT44" i="58"/>
  <c r="BT40" i="58"/>
  <c r="BT30" i="58"/>
  <c r="BT25" i="58"/>
  <c r="BT28" i="58"/>
  <c r="BT24" i="58"/>
  <c r="BT20" i="58"/>
  <c r="BT18" i="58"/>
  <c r="BT16" i="58"/>
  <c r="BT27" i="58"/>
  <c r="BT23" i="58"/>
  <c r="BT32" i="58"/>
  <c r="BT29" i="58"/>
  <c r="BT26" i="58"/>
  <c r="BT22" i="58"/>
  <c r="BT21" i="58"/>
  <c r="BT19" i="58"/>
  <c r="BT17" i="58"/>
  <c r="BT15" i="58"/>
  <c r="BT13" i="58"/>
  <c r="BT11" i="58"/>
  <c r="BT14" i="58"/>
  <c r="BT12" i="58"/>
  <c r="BT10" i="58"/>
  <c r="BT37" i="58"/>
  <c r="BT38" i="58"/>
  <c r="BT35" i="58"/>
  <c r="BT36" i="58"/>
  <c r="BK45" i="58"/>
  <c r="BK43" i="58"/>
  <c r="BK41" i="58"/>
  <c r="BK44" i="58"/>
  <c r="BK42" i="58"/>
  <c r="BK34" i="58"/>
  <c r="BK40" i="58"/>
  <c r="BK33" i="58"/>
  <c r="BK31" i="58"/>
  <c r="BK29" i="58"/>
  <c r="BK32" i="58"/>
  <c r="BK27" i="58"/>
  <c r="BK23" i="58"/>
  <c r="BK25" i="58"/>
  <c r="BK18" i="58"/>
  <c r="BK21" i="58"/>
  <c r="BK26" i="58"/>
  <c r="BK16" i="58"/>
  <c r="BK19" i="58"/>
  <c r="BK15" i="58"/>
  <c r="BK13" i="58"/>
  <c r="BK11" i="58"/>
  <c r="BK30" i="58"/>
  <c r="BK22" i="58"/>
  <c r="BK28" i="58"/>
  <c r="BK17" i="58"/>
  <c r="BK20" i="58"/>
  <c r="BK24" i="58"/>
  <c r="BK14" i="58"/>
  <c r="BK12" i="58"/>
  <c r="BK10" i="58"/>
  <c r="BK38" i="58"/>
  <c r="BK35" i="58"/>
  <c r="BK37" i="58"/>
  <c r="BK36" i="58"/>
  <c r="CO45" i="58"/>
  <c r="CO44" i="58"/>
  <c r="CO32" i="58"/>
  <c r="CO30" i="58"/>
  <c r="CO28" i="58"/>
  <c r="CO41" i="58"/>
  <c r="CO33" i="58"/>
  <c r="CO42" i="58"/>
  <c r="CO34" i="58"/>
  <c r="CO31" i="58"/>
  <c r="CO29" i="58"/>
  <c r="CO26" i="58"/>
  <c r="CO24" i="58"/>
  <c r="CO22" i="58"/>
  <c r="CO43" i="58"/>
  <c r="CO40" i="58"/>
  <c r="CO27" i="58"/>
  <c r="CO25" i="58"/>
  <c r="CO23" i="58"/>
  <c r="CO21" i="58"/>
  <c r="CO19" i="58"/>
  <c r="CO17" i="58"/>
  <c r="CO15" i="58"/>
  <c r="CO20" i="58"/>
  <c r="CO18" i="58"/>
  <c r="CO16" i="58"/>
  <c r="CO14" i="58"/>
  <c r="CO12" i="58"/>
  <c r="CO10" i="58"/>
  <c r="CO13" i="58"/>
  <c r="CO11" i="58"/>
  <c r="CO35" i="58"/>
  <c r="CO38" i="58"/>
  <c r="CO36" i="58"/>
  <c r="CO37" i="58"/>
  <c r="BF44" i="58"/>
  <c r="BF45" i="58"/>
  <c r="BF43" i="58"/>
  <c r="BF41" i="58"/>
  <c r="BF33" i="58"/>
  <c r="BF31" i="58"/>
  <c r="BF32" i="58"/>
  <c r="BF30" i="58"/>
  <c r="BF40" i="58"/>
  <c r="BF27" i="58"/>
  <c r="BF25" i="58"/>
  <c r="BF23" i="58"/>
  <c r="BF29" i="58"/>
  <c r="BF28" i="58"/>
  <c r="BF26" i="58"/>
  <c r="BF24" i="58"/>
  <c r="BF22" i="58"/>
  <c r="BF20" i="58"/>
  <c r="BF18" i="58"/>
  <c r="BF16" i="58"/>
  <c r="BF34" i="58"/>
  <c r="BF21" i="58"/>
  <c r="BF19" i="58"/>
  <c r="BF17" i="58"/>
  <c r="BF42" i="58"/>
  <c r="BF15" i="58"/>
  <c r="BF13" i="58"/>
  <c r="BF11" i="58"/>
  <c r="BF14" i="58"/>
  <c r="BF12" i="58"/>
  <c r="BF10" i="58"/>
  <c r="BF36" i="58"/>
  <c r="BF38" i="58"/>
  <c r="BF35" i="58"/>
  <c r="BF37" i="58"/>
  <c r="BG39" i="58"/>
  <c r="CD44" i="58"/>
  <c r="CD45" i="58"/>
  <c r="CD43" i="58"/>
  <c r="CD41" i="58"/>
  <c r="CD33" i="58"/>
  <c r="CD31" i="58"/>
  <c r="CD29" i="58"/>
  <c r="CD32" i="58"/>
  <c r="CD30" i="58"/>
  <c r="CD42" i="58"/>
  <c r="CD34" i="58"/>
  <c r="CD27" i="58"/>
  <c r="CD25" i="58"/>
  <c r="CD23" i="58"/>
  <c r="CD40" i="58"/>
  <c r="CD26" i="58"/>
  <c r="CD24" i="58"/>
  <c r="CD22" i="58"/>
  <c r="CD20" i="58"/>
  <c r="CD18" i="58"/>
  <c r="CD16" i="58"/>
  <c r="CD21" i="58"/>
  <c r="CD19" i="58"/>
  <c r="CD17" i="58"/>
  <c r="CD15" i="58"/>
  <c r="CD28" i="58"/>
  <c r="CD13" i="58"/>
  <c r="CD11" i="58"/>
  <c r="CD14" i="58"/>
  <c r="CD12" i="58"/>
  <c r="CD10" i="58"/>
  <c r="CD37" i="58"/>
  <c r="CD36" i="58"/>
  <c r="CD35" i="58"/>
  <c r="CD38" i="58"/>
  <c r="BU39" i="58"/>
  <c r="BT39" i="58"/>
  <c r="BR45" i="58"/>
  <c r="BR44" i="58"/>
  <c r="BR42" i="58"/>
  <c r="BR40" i="58"/>
  <c r="BR34" i="58"/>
  <c r="BR32" i="58"/>
  <c r="BR30" i="58"/>
  <c r="BR31" i="58"/>
  <c r="BR41" i="58"/>
  <c r="BR33" i="58"/>
  <c r="BR29" i="58"/>
  <c r="BR28" i="58"/>
  <c r="BR26" i="58"/>
  <c r="BR24" i="58"/>
  <c r="BR22" i="58"/>
  <c r="BR43" i="58"/>
  <c r="BR27" i="58"/>
  <c r="BR25" i="58"/>
  <c r="BR23" i="58"/>
  <c r="BR21" i="58"/>
  <c r="BR19" i="58"/>
  <c r="BR17" i="58"/>
  <c r="BR20" i="58"/>
  <c r="BR18" i="58"/>
  <c r="BR16" i="58"/>
  <c r="BR14" i="58"/>
  <c r="BR12" i="58"/>
  <c r="BR10" i="58"/>
  <c r="BR13" i="58"/>
  <c r="BR11" i="58"/>
  <c r="BR15" i="58"/>
  <c r="BR37" i="58"/>
  <c r="BR35" i="58"/>
  <c r="BR36" i="58"/>
  <c r="BR38" i="58"/>
  <c r="BK39" i="58"/>
  <c r="CA45" i="58"/>
  <c r="CA43" i="58"/>
  <c r="CA41" i="58"/>
  <c r="CA33" i="58"/>
  <c r="CA42" i="58"/>
  <c r="CA34" i="58"/>
  <c r="CA44" i="58"/>
  <c r="CA28" i="58"/>
  <c r="CA29" i="58"/>
  <c r="CA31" i="58"/>
  <c r="CA27" i="58"/>
  <c r="CA23" i="58"/>
  <c r="CA40" i="58"/>
  <c r="CA32" i="58"/>
  <c r="CA25" i="58"/>
  <c r="CA26" i="58"/>
  <c r="CA17" i="58"/>
  <c r="CA22" i="58"/>
  <c r="CA20" i="58"/>
  <c r="CA30" i="58"/>
  <c r="CA15" i="58"/>
  <c r="CA13" i="58"/>
  <c r="CA11" i="58"/>
  <c r="CA18" i="58"/>
  <c r="CA24" i="58"/>
  <c r="CA21" i="58"/>
  <c r="CA16" i="58"/>
  <c r="CA19" i="58"/>
  <c r="CA14" i="58"/>
  <c r="CA12" i="58"/>
  <c r="CA10" i="58"/>
  <c r="CA36" i="58"/>
  <c r="CA35" i="58"/>
  <c r="CA37" i="58"/>
  <c r="CA38" i="58"/>
  <c r="CB45" i="58"/>
  <c r="CB43" i="58"/>
  <c r="CB40" i="58"/>
  <c r="CB29" i="58"/>
  <c r="CB44" i="58"/>
  <c r="CB31" i="58"/>
  <c r="CB34" i="58"/>
  <c r="CB33" i="58"/>
  <c r="CB27" i="58"/>
  <c r="CB23" i="58"/>
  <c r="CB42" i="58"/>
  <c r="CB41" i="58"/>
  <c r="CB26" i="58"/>
  <c r="CB22" i="58"/>
  <c r="CB20" i="58"/>
  <c r="CB18" i="58"/>
  <c r="CB16" i="58"/>
  <c r="CB32" i="58"/>
  <c r="CB25" i="58"/>
  <c r="CB30" i="58"/>
  <c r="CB24" i="58"/>
  <c r="CB21" i="58"/>
  <c r="CB19" i="58"/>
  <c r="CB17" i="58"/>
  <c r="CB15" i="58"/>
  <c r="CB13" i="58"/>
  <c r="CB11" i="58"/>
  <c r="CB28" i="58"/>
  <c r="CB14" i="58"/>
  <c r="CB12" i="58"/>
  <c r="CB10" i="58"/>
  <c r="CB38" i="58"/>
  <c r="CB37" i="58"/>
  <c r="CB35" i="58"/>
  <c r="CB36" i="58"/>
  <c r="BF39" i="58"/>
  <c r="BJ45" i="58"/>
  <c r="BJ44" i="58"/>
  <c r="BJ42" i="58"/>
  <c r="BJ40" i="58"/>
  <c r="BJ34" i="58"/>
  <c r="BJ32" i="58"/>
  <c r="BJ30" i="58"/>
  <c r="BJ33" i="58"/>
  <c r="BJ31" i="58"/>
  <c r="BJ43" i="58"/>
  <c r="BJ28" i="58"/>
  <c r="BJ26" i="58"/>
  <c r="BJ24" i="58"/>
  <c r="BJ27" i="58"/>
  <c r="BJ25" i="58"/>
  <c r="BJ23" i="58"/>
  <c r="BJ41" i="58"/>
  <c r="BJ21" i="58"/>
  <c r="BJ19" i="58"/>
  <c r="BJ17" i="58"/>
  <c r="BJ29" i="58"/>
  <c r="BJ22" i="58"/>
  <c r="BJ20" i="58"/>
  <c r="BJ18" i="58"/>
  <c r="BJ16" i="58"/>
  <c r="BJ14" i="58"/>
  <c r="BJ12" i="58"/>
  <c r="BJ10" i="58"/>
  <c r="BJ15" i="58"/>
  <c r="BJ13" i="58"/>
  <c r="BJ11" i="58"/>
  <c r="BJ37" i="58"/>
  <c r="BJ36" i="58"/>
  <c r="BJ35" i="58"/>
  <c r="BJ38" i="58"/>
  <c r="CI45" i="58"/>
  <c r="CI43" i="58"/>
  <c r="CI41" i="58"/>
  <c r="CI33" i="58"/>
  <c r="CI40" i="58"/>
  <c r="CI44" i="58"/>
  <c r="CI42" i="58"/>
  <c r="CI31" i="58"/>
  <c r="CI34" i="58"/>
  <c r="CI29" i="58"/>
  <c r="CI25" i="58"/>
  <c r="CI28" i="58"/>
  <c r="CI30" i="58"/>
  <c r="CI27" i="58"/>
  <c r="CI23" i="58"/>
  <c r="CI20" i="58"/>
  <c r="CI22" i="58"/>
  <c r="CI15" i="58"/>
  <c r="CI18" i="58"/>
  <c r="CI21" i="58"/>
  <c r="CI13" i="58"/>
  <c r="CI11" i="58"/>
  <c r="CI32" i="58"/>
  <c r="CI24" i="58"/>
  <c r="CI16" i="58"/>
  <c r="CI19" i="58"/>
  <c r="CI26" i="58"/>
  <c r="CI17" i="58"/>
  <c r="CI14" i="58"/>
  <c r="CI12" i="58"/>
  <c r="CI10" i="58"/>
  <c r="CI37" i="58"/>
  <c r="CI36" i="58"/>
  <c r="CI35" i="58"/>
  <c r="CI38" i="58"/>
  <c r="CM45" i="58"/>
  <c r="CM44" i="58"/>
  <c r="CM42" i="58"/>
  <c r="CM40" i="58"/>
  <c r="CM34" i="58"/>
  <c r="CM43" i="58"/>
  <c r="CM30" i="58"/>
  <c r="CM32" i="58"/>
  <c r="CM41" i="58"/>
  <c r="CM29" i="58"/>
  <c r="CM24" i="58"/>
  <c r="CM26" i="58"/>
  <c r="CM22" i="58"/>
  <c r="CM33" i="58"/>
  <c r="CM27" i="58"/>
  <c r="CM15" i="58"/>
  <c r="CM18" i="58"/>
  <c r="CM28" i="58"/>
  <c r="CM23" i="58"/>
  <c r="CM21" i="58"/>
  <c r="CM16" i="58"/>
  <c r="CM14" i="58"/>
  <c r="CM12" i="58"/>
  <c r="CM10" i="58"/>
  <c r="CM19" i="58"/>
  <c r="CM25" i="58"/>
  <c r="CM17" i="58"/>
  <c r="CM31" i="58"/>
  <c r="CM20" i="58"/>
  <c r="CM13" i="58"/>
  <c r="CM11" i="58"/>
  <c r="CM37" i="58"/>
  <c r="CM36" i="58"/>
  <c r="CM35" i="58"/>
  <c r="CM38" i="58"/>
  <c r="CD39" i="58"/>
  <c r="BZ45" i="58"/>
  <c r="BZ44" i="58"/>
  <c r="BZ42" i="58"/>
  <c r="BZ40" i="58"/>
  <c r="BZ34" i="58"/>
  <c r="BZ32" i="58"/>
  <c r="BZ30" i="58"/>
  <c r="BZ43" i="58"/>
  <c r="BZ31" i="58"/>
  <c r="BZ26" i="58"/>
  <c r="BZ24" i="58"/>
  <c r="BZ22" i="58"/>
  <c r="BZ28" i="58"/>
  <c r="BZ27" i="58"/>
  <c r="BZ25" i="58"/>
  <c r="BZ23" i="58"/>
  <c r="BZ21" i="58"/>
  <c r="BZ19" i="58"/>
  <c r="BZ17" i="58"/>
  <c r="BZ15" i="58"/>
  <c r="BZ33" i="58"/>
  <c r="BZ41" i="58"/>
  <c r="BZ29" i="58"/>
  <c r="BZ20" i="58"/>
  <c r="BZ18" i="58"/>
  <c r="BZ16" i="58"/>
  <c r="BZ14" i="58"/>
  <c r="BZ12" i="58"/>
  <c r="BZ10" i="58"/>
  <c r="BZ13" i="58"/>
  <c r="BZ11" i="58"/>
  <c r="BZ38" i="58"/>
  <c r="BZ37" i="58"/>
  <c r="BZ36" i="58"/>
  <c r="BZ35" i="58"/>
  <c r="CK45" i="58"/>
  <c r="CK42" i="58"/>
  <c r="CK34" i="58"/>
  <c r="CK43" i="58"/>
  <c r="CK31" i="58"/>
  <c r="CK29" i="58"/>
  <c r="CK32" i="58"/>
  <c r="CK30" i="58"/>
  <c r="CK28" i="58"/>
  <c r="CK44" i="58"/>
  <c r="CK27" i="58"/>
  <c r="CK25" i="58"/>
  <c r="CK23" i="58"/>
  <c r="CK26" i="58"/>
  <c r="CK24" i="58"/>
  <c r="CK22" i="58"/>
  <c r="CK41" i="58"/>
  <c r="CK20" i="58"/>
  <c r="CK18" i="58"/>
  <c r="CK16" i="58"/>
  <c r="CK40" i="58"/>
  <c r="CK21" i="58"/>
  <c r="CK19" i="58"/>
  <c r="CK17" i="58"/>
  <c r="CK15" i="58"/>
  <c r="CK33" i="58"/>
  <c r="CK13" i="58"/>
  <c r="CK11" i="58"/>
  <c r="CK14" i="58"/>
  <c r="CK12" i="58"/>
  <c r="CK10" i="58"/>
  <c r="CK37" i="58"/>
  <c r="CK36" i="58"/>
  <c r="CK35" i="58"/>
  <c r="CK38" i="58"/>
  <c r="BR39" i="58"/>
  <c r="BI45" i="58"/>
  <c r="BI44" i="58"/>
  <c r="BI32" i="58"/>
  <c r="BI30" i="58"/>
  <c r="BI41" i="58"/>
  <c r="BI42" i="58"/>
  <c r="BI34" i="58"/>
  <c r="BI33" i="58"/>
  <c r="BI31" i="58"/>
  <c r="BI29" i="58"/>
  <c r="BI43" i="58"/>
  <c r="BI40" i="58"/>
  <c r="BI28" i="58"/>
  <c r="BI26" i="58"/>
  <c r="BI24" i="58"/>
  <c r="BI27" i="58"/>
  <c r="BI25" i="58"/>
  <c r="BI23" i="58"/>
  <c r="BI21" i="58"/>
  <c r="BI19" i="58"/>
  <c r="BI17" i="58"/>
  <c r="BI22" i="58"/>
  <c r="BI20" i="58"/>
  <c r="BI18" i="58"/>
  <c r="BI16" i="58"/>
  <c r="BI14" i="58"/>
  <c r="BI12" i="58"/>
  <c r="BI10" i="58"/>
  <c r="BI15" i="58"/>
  <c r="BI13" i="58"/>
  <c r="BI11" i="58"/>
  <c r="BI38" i="58"/>
  <c r="BI35" i="58"/>
  <c r="BI37" i="58"/>
  <c r="BI36" i="58"/>
  <c r="AV45" i="58"/>
  <c r="CR39" i="58" s="1"/>
  <c r="CL44" i="58"/>
  <c r="CL45" i="58"/>
  <c r="CL43" i="58"/>
  <c r="CL41" i="58"/>
  <c r="CL33" i="58"/>
  <c r="CL31" i="58"/>
  <c r="CL29" i="58"/>
  <c r="CL32" i="58"/>
  <c r="CL30" i="58"/>
  <c r="CL40" i="58"/>
  <c r="CL42" i="58"/>
  <c r="CL28" i="58"/>
  <c r="CL27" i="58"/>
  <c r="CL25" i="58"/>
  <c r="CL23" i="58"/>
  <c r="CL26" i="58"/>
  <c r="CL24" i="58"/>
  <c r="CL22" i="58"/>
  <c r="CL20" i="58"/>
  <c r="CL18" i="58"/>
  <c r="CL16" i="58"/>
  <c r="CL21" i="58"/>
  <c r="CL19" i="58"/>
  <c r="CL17" i="58"/>
  <c r="CL15" i="58"/>
  <c r="CL34" i="58"/>
  <c r="CL13" i="58"/>
  <c r="CL11" i="58"/>
  <c r="CL14" i="58"/>
  <c r="CL12" i="58"/>
  <c r="CL10" i="58"/>
  <c r="CL38" i="58"/>
  <c r="CL37" i="58"/>
  <c r="CL36" i="58"/>
  <c r="CL35" i="58"/>
  <c r="CL39" i="58"/>
  <c r="CJ45" i="58"/>
  <c r="CJ44" i="58"/>
  <c r="CJ41" i="58"/>
  <c r="CJ33" i="58"/>
  <c r="CJ42" i="58"/>
  <c r="CJ34" i="58"/>
  <c r="CJ31" i="58"/>
  <c r="CJ28" i="58"/>
  <c r="CJ43" i="58"/>
  <c r="CJ29" i="58"/>
  <c r="CJ25" i="58"/>
  <c r="CJ32" i="58"/>
  <c r="CJ24" i="58"/>
  <c r="CJ20" i="58"/>
  <c r="CJ18" i="58"/>
  <c r="CJ16" i="58"/>
  <c r="CJ40" i="58"/>
  <c r="CJ30" i="58"/>
  <c r="CJ27" i="58"/>
  <c r="CJ23" i="58"/>
  <c r="CJ26" i="58"/>
  <c r="CJ22" i="58"/>
  <c r="CJ21" i="58"/>
  <c r="CJ19" i="58"/>
  <c r="CJ17" i="58"/>
  <c r="CJ15" i="58"/>
  <c r="CJ13" i="58"/>
  <c r="CJ11" i="58"/>
  <c r="CJ14" i="58"/>
  <c r="CJ12" i="58"/>
  <c r="CJ10" i="58"/>
  <c r="CJ35" i="58"/>
  <c r="CJ38" i="58"/>
  <c r="CJ36" i="58"/>
  <c r="CJ37" i="58"/>
  <c r="BE45" i="58"/>
  <c r="BE42" i="58"/>
  <c r="BE34" i="58"/>
  <c r="BE43" i="58"/>
  <c r="BE33" i="58"/>
  <c r="BE31" i="58"/>
  <c r="BE29" i="58"/>
  <c r="BE32" i="58"/>
  <c r="BE30" i="58"/>
  <c r="BE44" i="58"/>
  <c r="BE27" i="58"/>
  <c r="BE25" i="58"/>
  <c r="BE23" i="58"/>
  <c r="BE28" i="58"/>
  <c r="BE26" i="58"/>
  <c r="BE24" i="58"/>
  <c r="BE41" i="58"/>
  <c r="BE40" i="58"/>
  <c r="BE22" i="58"/>
  <c r="BE20" i="58"/>
  <c r="BE18" i="58"/>
  <c r="BE16" i="58"/>
  <c r="BE21" i="58"/>
  <c r="BE19" i="58"/>
  <c r="BE17" i="58"/>
  <c r="BE15" i="58"/>
  <c r="BE13" i="58"/>
  <c r="BE11" i="58"/>
  <c r="BE14" i="58"/>
  <c r="BE12" i="58"/>
  <c r="BE10" i="58"/>
  <c r="BE35" i="58"/>
  <c r="BE38" i="58"/>
  <c r="BE37" i="58"/>
  <c r="BE36" i="58"/>
  <c r="CQ44" i="58"/>
  <c r="CQ45" i="58"/>
  <c r="CQ43" i="58"/>
  <c r="CQ41" i="58"/>
  <c r="CQ33" i="58"/>
  <c r="CQ42" i="58"/>
  <c r="CQ34" i="58"/>
  <c r="CQ29" i="58"/>
  <c r="CQ40" i="58"/>
  <c r="CQ28" i="58"/>
  <c r="CQ31" i="58"/>
  <c r="CQ32" i="58"/>
  <c r="CQ27" i="58"/>
  <c r="CQ23" i="58"/>
  <c r="CQ25" i="58"/>
  <c r="CQ22" i="58"/>
  <c r="CQ18" i="58"/>
  <c r="CQ21" i="58"/>
  <c r="CQ30" i="58"/>
  <c r="CQ16" i="58"/>
  <c r="CQ24" i="58"/>
  <c r="CQ19" i="58"/>
  <c r="CQ13" i="58"/>
  <c r="CQ11" i="58"/>
  <c r="CQ17" i="58"/>
  <c r="CQ26" i="58"/>
  <c r="CQ20" i="58"/>
  <c r="CQ15" i="58"/>
  <c r="CQ14" i="58"/>
  <c r="CQ12" i="58"/>
  <c r="CQ10" i="58"/>
  <c r="CQ37" i="58"/>
  <c r="CQ36" i="58"/>
  <c r="CQ35" i="58"/>
  <c r="CQ38" i="58"/>
  <c r="BS45" i="58"/>
  <c r="BS43" i="58"/>
  <c r="BS41" i="58"/>
  <c r="BS33" i="58"/>
  <c r="BS44" i="58"/>
  <c r="BS40" i="58"/>
  <c r="BS31" i="58"/>
  <c r="BS34" i="58"/>
  <c r="BS30" i="58"/>
  <c r="BS25" i="58"/>
  <c r="BS42" i="58"/>
  <c r="BS27" i="58"/>
  <c r="BS23" i="58"/>
  <c r="BS16" i="58"/>
  <c r="BS26" i="58"/>
  <c r="BS19" i="58"/>
  <c r="BS22" i="58"/>
  <c r="BS17" i="58"/>
  <c r="BS13" i="58"/>
  <c r="BS11" i="58"/>
  <c r="BS28" i="58"/>
  <c r="BS20" i="58"/>
  <c r="BS32" i="58"/>
  <c r="BS15" i="58"/>
  <c r="BS24" i="58"/>
  <c r="BS18" i="58"/>
  <c r="BS29" i="58"/>
  <c r="BS21" i="58"/>
  <c r="BS14" i="58"/>
  <c r="BS12" i="58"/>
  <c r="BS10" i="58"/>
  <c r="BS36" i="58"/>
  <c r="BS35" i="58"/>
  <c r="BS38" i="58"/>
  <c r="BS37" i="58"/>
  <c r="BQ45" i="58"/>
  <c r="BQ44" i="58"/>
  <c r="BQ43" i="58"/>
  <c r="BQ32" i="58"/>
  <c r="BQ30" i="58"/>
  <c r="BQ40" i="58"/>
  <c r="BQ31" i="58"/>
  <c r="BQ29" i="58"/>
  <c r="BQ28" i="58"/>
  <c r="BQ26" i="58"/>
  <c r="BQ24" i="58"/>
  <c r="BQ22" i="58"/>
  <c r="BQ27" i="58"/>
  <c r="BQ25" i="58"/>
  <c r="BQ23" i="58"/>
  <c r="BQ34" i="58"/>
  <c r="BQ21" i="58"/>
  <c r="BQ19" i="58"/>
  <c r="BQ17" i="58"/>
  <c r="BQ33" i="58"/>
  <c r="BQ42" i="58"/>
  <c r="BQ41" i="58"/>
  <c r="BQ20" i="58"/>
  <c r="BQ18" i="58"/>
  <c r="BQ16" i="58"/>
  <c r="BQ14" i="58"/>
  <c r="BQ12" i="58"/>
  <c r="BQ10" i="58"/>
  <c r="BQ13" i="58"/>
  <c r="BQ11" i="58"/>
  <c r="BQ15" i="58"/>
  <c r="BQ38" i="58"/>
  <c r="BQ35" i="58"/>
  <c r="BQ37" i="58"/>
  <c r="BQ36" i="58"/>
  <c r="BV44" i="58"/>
  <c r="BV45" i="58"/>
  <c r="BV43" i="58"/>
  <c r="BV41" i="58"/>
  <c r="BV33" i="58"/>
  <c r="BV31" i="58"/>
  <c r="BV40" i="58"/>
  <c r="BV32" i="58"/>
  <c r="BV30" i="58"/>
  <c r="BV27" i="58"/>
  <c r="BV25" i="58"/>
  <c r="BV23" i="58"/>
  <c r="BV34" i="58"/>
  <c r="BV26" i="58"/>
  <c r="BV24" i="58"/>
  <c r="BV22" i="58"/>
  <c r="BV42" i="58"/>
  <c r="BV29" i="58"/>
  <c r="BV28" i="58"/>
  <c r="BV20" i="58"/>
  <c r="BV18" i="58"/>
  <c r="BV16" i="58"/>
  <c r="BV21" i="58"/>
  <c r="BV19" i="58"/>
  <c r="BV17" i="58"/>
  <c r="BV15" i="58"/>
  <c r="BV13" i="58"/>
  <c r="BV11" i="58"/>
  <c r="BV14" i="58"/>
  <c r="BV12" i="58"/>
  <c r="BV10" i="58"/>
  <c r="BV37" i="58"/>
  <c r="BV35" i="58"/>
  <c r="BV36" i="58"/>
  <c r="BV38" i="58"/>
  <c r="BD45" i="58"/>
  <c r="BD41" i="58"/>
  <c r="BD42" i="58"/>
  <c r="BD34" i="58"/>
  <c r="BD44" i="58"/>
  <c r="BD43" i="58"/>
  <c r="BD31" i="58"/>
  <c r="BD33" i="58"/>
  <c r="BD25" i="58"/>
  <c r="BD40" i="58"/>
  <c r="BD32" i="58"/>
  <c r="BD28" i="58"/>
  <c r="BD24" i="58"/>
  <c r="BD22" i="58"/>
  <c r="BD20" i="58"/>
  <c r="BD18" i="58"/>
  <c r="BD16" i="58"/>
  <c r="BD30" i="58"/>
  <c r="BD29" i="58"/>
  <c r="BD27" i="58"/>
  <c r="BD23" i="58"/>
  <c r="BD26" i="58"/>
  <c r="BD21" i="58"/>
  <c r="BD19" i="58"/>
  <c r="BD17" i="58"/>
  <c r="BD15" i="58"/>
  <c r="BD13" i="58"/>
  <c r="BD11" i="58"/>
  <c r="BD14" i="58"/>
  <c r="BD12" i="58"/>
  <c r="BD10" i="58"/>
  <c r="BD38" i="58"/>
  <c r="BD37" i="58"/>
  <c r="BD35" i="58"/>
  <c r="BD36" i="58"/>
  <c r="BY45" i="58"/>
  <c r="BY44" i="58"/>
  <c r="BY41" i="58"/>
  <c r="BY33" i="58"/>
  <c r="BY42" i="58"/>
  <c r="BY34" i="58"/>
  <c r="BY32" i="58"/>
  <c r="BY30" i="58"/>
  <c r="BY31" i="58"/>
  <c r="BY29" i="58"/>
  <c r="BY43" i="58"/>
  <c r="BY26" i="58"/>
  <c r="BY24" i="58"/>
  <c r="BY22" i="58"/>
  <c r="BY27" i="58"/>
  <c r="BY25" i="58"/>
  <c r="BY23" i="58"/>
  <c r="BY28" i="58"/>
  <c r="BY21" i="58"/>
  <c r="BY19" i="58"/>
  <c r="BY17" i="58"/>
  <c r="BY15" i="58"/>
  <c r="BY40" i="58"/>
  <c r="BY20" i="58"/>
  <c r="BY18" i="58"/>
  <c r="BY16" i="58"/>
  <c r="BY14" i="58"/>
  <c r="BY12" i="58"/>
  <c r="BY10" i="58"/>
  <c r="BY13" i="58"/>
  <c r="BY11" i="58"/>
  <c r="BY37" i="58"/>
  <c r="BY38" i="58"/>
  <c r="BY35" i="58"/>
  <c r="BY36" i="58"/>
  <c r="CH45" i="58"/>
  <c r="CH44" i="58"/>
  <c r="CH42" i="58"/>
  <c r="CH40" i="58"/>
  <c r="CH34" i="58"/>
  <c r="CH32" i="58"/>
  <c r="CH30" i="58"/>
  <c r="CH41" i="58"/>
  <c r="CH33" i="58"/>
  <c r="CH31" i="58"/>
  <c r="CH29" i="58"/>
  <c r="CH26" i="58"/>
  <c r="CH24" i="58"/>
  <c r="CH22" i="58"/>
  <c r="CH27" i="58"/>
  <c r="CH25" i="58"/>
  <c r="CH23" i="58"/>
  <c r="CH43" i="58"/>
  <c r="CH21" i="58"/>
  <c r="CH19" i="58"/>
  <c r="CH17" i="58"/>
  <c r="CH15" i="58"/>
  <c r="CH20" i="58"/>
  <c r="CH18" i="58"/>
  <c r="CH16" i="58"/>
  <c r="CH28" i="58"/>
  <c r="CH14" i="58"/>
  <c r="CH12" i="58"/>
  <c r="CH10" i="58"/>
  <c r="CH13" i="58"/>
  <c r="CH11" i="58"/>
  <c r="CH38" i="58"/>
  <c r="CH37" i="58"/>
  <c r="CH36" i="58"/>
  <c r="CH35" i="58"/>
  <c r="BC45" i="58"/>
  <c r="BC43" i="58"/>
  <c r="BC41" i="58"/>
  <c r="BC44" i="58"/>
  <c r="BC40" i="58"/>
  <c r="BC34" i="58"/>
  <c r="BC31" i="58"/>
  <c r="BC42" i="58"/>
  <c r="BC33" i="58"/>
  <c r="BC25" i="58"/>
  <c r="BC30" i="58"/>
  <c r="BC29" i="58"/>
  <c r="BC27" i="58"/>
  <c r="BC23" i="58"/>
  <c r="BC24" i="58"/>
  <c r="BC20" i="58"/>
  <c r="BC18" i="58"/>
  <c r="BC26" i="58"/>
  <c r="BC21" i="58"/>
  <c r="BC15" i="58"/>
  <c r="BC13" i="58"/>
  <c r="BC11" i="58"/>
  <c r="BC16" i="58"/>
  <c r="BC19" i="58"/>
  <c r="BC32" i="58"/>
  <c r="BC28" i="58"/>
  <c r="BC22" i="58"/>
  <c r="BC17" i="58"/>
  <c r="BC14" i="58"/>
  <c r="BC12" i="58"/>
  <c r="BC10" i="58"/>
  <c r="BC35" i="58"/>
  <c r="BC38" i="58"/>
  <c r="BC37" i="58"/>
  <c r="BC36" i="58"/>
  <c r="BW45" i="58"/>
  <c r="BW44" i="58"/>
  <c r="BW42" i="58"/>
  <c r="BW40" i="58"/>
  <c r="BW34" i="58"/>
  <c r="BW43" i="58"/>
  <c r="BW41" i="58"/>
  <c r="BW30" i="58"/>
  <c r="BW33" i="58"/>
  <c r="BW29" i="58"/>
  <c r="BW28" i="58"/>
  <c r="BW32" i="58"/>
  <c r="BW24" i="58"/>
  <c r="BW26" i="58"/>
  <c r="BW22" i="58"/>
  <c r="BW31" i="58"/>
  <c r="BW19" i="58"/>
  <c r="BW27" i="58"/>
  <c r="BW17" i="58"/>
  <c r="BW20" i="58"/>
  <c r="BW14" i="58"/>
  <c r="BW12" i="58"/>
  <c r="BW10" i="58"/>
  <c r="BW23" i="58"/>
  <c r="BW15" i="58"/>
  <c r="BW18" i="58"/>
  <c r="BW21" i="58"/>
  <c r="BW25" i="58"/>
  <c r="BW16" i="58"/>
  <c r="BW13" i="58"/>
  <c r="BW11" i="58"/>
  <c r="BW36" i="58"/>
  <c r="BW38" i="58"/>
  <c r="BW37" i="58"/>
  <c r="BW35" i="58"/>
  <c r="CJ39" i="58"/>
  <c r="BE39" i="58"/>
  <c r="BL45" i="58"/>
  <c r="BL40" i="58"/>
  <c r="BL43" i="58"/>
  <c r="BL33" i="58"/>
  <c r="BL42" i="58"/>
  <c r="BL41" i="58"/>
  <c r="BL31" i="58"/>
  <c r="BL29" i="58"/>
  <c r="BL44" i="58"/>
  <c r="BL34" i="58"/>
  <c r="BL32" i="58"/>
  <c r="BL27" i="58"/>
  <c r="BL23" i="58"/>
  <c r="BL30" i="58"/>
  <c r="BL26" i="58"/>
  <c r="BL22" i="58"/>
  <c r="BL20" i="58"/>
  <c r="BL18" i="58"/>
  <c r="BL16" i="58"/>
  <c r="BL25" i="58"/>
  <c r="BL28" i="58"/>
  <c r="BL24" i="58"/>
  <c r="BL21" i="58"/>
  <c r="BL19" i="58"/>
  <c r="BL17" i="58"/>
  <c r="BL15" i="58"/>
  <c r="BL13" i="58"/>
  <c r="BL11" i="58"/>
  <c r="BL14" i="58"/>
  <c r="BL12" i="58"/>
  <c r="BL10" i="58"/>
  <c r="BL38" i="58"/>
  <c r="BL37" i="58"/>
  <c r="BL35" i="58"/>
  <c r="BL36" i="58"/>
  <c r="AW45" i="58"/>
  <c r="CS39" i="58" s="1"/>
  <c r="BQ39" i="58"/>
  <c r="BV39" i="58"/>
  <c r="BD39" i="58"/>
  <c r="BY39" i="58"/>
  <c r="CH39" i="58"/>
  <c r="BC39" i="58"/>
  <c r="BW39" i="58"/>
  <c r="CP45" i="58"/>
  <c r="CP43" i="58"/>
  <c r="CP44" i="58"/>
  <c r="CP42" i="58"/>
  <c r="CP40" i="58"/>
  <c r="CP34" i="58"/>
  <c r="CP32" i="58"/>
  <c r="CP30" i="58"/>
  <c r="CP31" i="58"/>
  <c r="CP29" i="58"/>
  <c r="CP26" i="58"/>
  <c r="CP24" i="58"/>
  <c r="CP22" i="58"/>
  <c r="CP41" i="58"/>
  <c r="CP27" i="58"/>
  <c r="CP25" i="58"/>
  <c r="CP23" i="58"/>
  <c r="CP33" i="58"/>
  <c r="CP28" i="58"/>
  <c r="CP21" i="58"/>
  <c r="CP19" i="58"/>
  <c r="CP17" i="58"/>
  <c r="CP15" i="58"/>
  <c r="CP20" i="58"/>
  <c r="CP18" i="58"/>
  <c r="CP16" i="58"/>
  <c r="CP14" i="58"/>
  <c r="CP12" i="58"/>
  <c r="CP10" i="58"/>
  <c r="CP13" i="58"/>
  <c r="CP11" i="58"/>
  <c r="CP38" i="58"/>
  <c r="CP37" i="58"/>
  <c r="CP35" i="58"/>
  <c r="CP36" i="58"/>
  <c r="CV39" i="58" l="1"/>
  <c r="CV45" i="58"/>
  <c r="CV33" i="58"/>
  <c r="CV31" i="58"/>
  <c r="CV32" i="58"/>
  <c r="CV30" i="58"/>
  <c r="CV34" i="58"/>
  <c r="CV12" i="58"/>
  <c r="CV25" i="58"/>
  <c r="CV22" i="58"/>
  <c r="CV17" i="58"/>
  <c r="CV28" i="58"/>
  <c r="CV13" i="58"/>
  <c r="CV20" i="58"/>
  <c r="CV27" i="58"/>
  <c r="CV38" i="58"/>
  <c r="CV36" i="58"/>
  <c r="CV11" i="58"/>
  <c r="CV43" i="58"/>
  <c r="CV41" i="58"/>
  <c r="CV16" i="58"/>
  <c r="CV23" i="58"/>
  <c r="CV21" i="58"/>
  <c r="CV26" i="58"/>
  <c r="CV18" i="58"/>
  <c r="CV35" i="58"/>
  <c r="CV42" i="58"/>
  <c r="CV10" i="58"/>
  <c r="CV37" i="58"/>
  <c r="CV40" i="58"/>
  <c r="CV15" i="58"/>
  <c r="CV14" i="58"/>
  <c r="CV44" i="58"/>
  <c r="CV19" i="58"/>
  <c r="CV24" i="58"/>
  <c r="CU45" i="58"/>
  <c r="CU11" i="58"/>
  <c r="CU12" i="58"/>
  <c r="CU30" i="58"/>
  <c r="CU13" i="58"/>
  <c r="CU27" i="58"/>
  <c r="CU42" i="58"/>
  <c r="CU40" i="58"/>
  <c r="CU15" i="58"/>
  <c r="CU33" i="58"/>
  <c r="CU25" i="58"/>
  <c r="CU17" i="58"/>
  <c r="CU20" i="58"/>
  <c r="CU35" i="58"/>
  <c r="CU31" i="58"/>
  <c r="CU22" i="58"/>
  <c r="CU37" i="58"/>
  <c r="CU23" i="58"/>
  <c r="CU43" i="58"/>
  <c r="CU28" i="58"/>
  <c r="CU36" i="58"/>
  <c r="CU32" i="58"/>
  <c r="CU10" i="58"/>
  <c r="CU41" i="58"/>
  <c r="CU16" i="58"/>
  <c r="CU26" i="58"/>
  <c r="CU18" i="58"/>
  <c r="CU21" i="58"/>
  <c r="CU38" i="58"/>
  <c r="CU29" i="58"/>
  <c r="CU19" i="58"/>
  <c r="CU14" i="58"/>
  <c r="CU39" i="58"/>
  <c r="CU34" i="58"/>
  <c r="CU24" i="58"/>
  <c r="CS44" i="58"/>
  <c r="CS45" i="58"/>
  <c r="CS43" i="58"/>
  <c r="CS41" i="58"/>
  <c r="CS33" i="58"/>
  <c r="CS40" i="58"/>
  <c r="CS31" i="58"/>
  <c r="CS42" i="58"/>
  <c r="CS29" i="58"/>
  <c r="CS30" i="58"/>
  <c r="CS25" i="58"/>
  <c r="CS34" i="58"/>
  <c r="CS27" i="58"/>
  <c r="CS23" i="58"/>
  <c r="CS28" i="58"/>
  <c r="CS16" i="58"/>
  <c r="CS19" i="58"/>
  <c r="CS24" i="58"/>
  <c r="CS32" i="58"/>
  <c r="CS17" i="58"/>
  <c r="CS13" i="58"/>
  <c r="CS11" i="58"/>
  <c r="CS20" i="58"/>
  <c r="CS26" i="58"/>
  <c r="CS15" i="58"/>
  <c r="CS18" i="58"/>
  <c r="CS22" i="58"/>
  <c r="CS21" i="58"/>
  <c r="CS14" i="58"/>
  <c r="CS12" i="58"/>
  <c r="CS10" i="58"/>
  <c r="CS36" i="58"/>
  <c r="CS37" i="58"/>
  <c r="CS35" i="58"/>
  <c r="CS38" i="58"/>
  <c r="CR45" i="58"/>
  <c r="CR43" i="58"/>
  <c r="CR44" i="58"/>
  <c r="CR42" i="58"/>
  <c r="CR40" i="58"/>
  <c r="CR34" i="58"/>
  <c r="CR32" i="58"/>
  <c r="CR30" i="58"/>
  <c r="CR31" i="58"/>
  <c r="CR29" i="58"/>
  <c r="CR41" i="58"/>
  <c r="CR33" i="58"/>
  <c r="CR26" i="58"/>
  <c r="CR24" i="58"/>
  <c r="CR22" i="58"/>
  <c r="CR27" i="58"/>
  <c r="CR25" i="58"/>
  <c r="CR23" i="58"/>
  <c r="CR21" i="58"/>
  <c r="CR19" i="58"/>
  <c r="CR17" i="58"/>
  <c r="CR15" i="58"/>
  <c r="CR20" i="58"/>
  <c r="CR18" i="58"/>
  <c r="CR16" i="58"/>
  <c r="CR14" i="58"/>
  <c r="CR12" i="58"/>
  <c r="CR10" i="58"/>
  <c r="CR28" i="58"/>
  <c r="CR13" i="58"/>
  <c r="CR11" i="58"/>
  <c r="CR37" i="58"/>
  <c r="CR36" i="58"/>
  <c r="CR38" i="58"/>
  <c r="CR35" i="58"/>
  <c r="CT44" i="58"/>
  <c r="CT45" i="58"/>
  <c r="CT43" i="58"/>
  <c r="CT41" i="58"/>
  <c r="CT33" i="58"/>
  <c r="CT42" i="58"/>
  <c r="CT34" i="58"/>
  <c r="CT31" i="58"/>
  <c r="CT40" i="58"/>
  <c r="CT29" i="58"/>
  <c r="CT28" i="58"/>
  <c r="CT30" i="58"/>
  <c r="CT25" i="58"/>
  <c r="CT24" i="58"/>
  <c r="CT20" i="58"/>
  <c r="CT18" i="58"/>
  <c r="CT16" i="58"/>
  <c r="CT27" i="58"/>
  <c r="CT23" i="58"/>
  <c r="CT32" i="58"/>
  <c r="CT26" i="58"/>
  <c r="CT22" i="58"/>
  <c r="CT21" i="58"/>
  <c r="CT19" i="58"/>
  <c r="CT17" i="58"/>
  <c r="CT15" i="58"/>
  <c r="CT13" i="58"/>
  <c r="CT11" i="58"/>
  <c r="CT14" i="58"/>
  <c r="CT12" i="58"/>
  <c r="CT10" i="58"/>
  <c r="CT38" i="58"/>
  <c r="CT37" i="58"/>
  <c r="CT35" i="58"/>
  <c r="CT36" i="58"/>
  <c r="AE308" i="54" l="1"/>
  <c r="AF308" i="54"/>
  <c r="AH308" i="54"/>
  <c r="AC309" i="54"/>
  <c r="AD309" i="54"/>
  <c r="AE309" i="54"/>
  <c r="AF309" i="54"/>
  <c r="AH309" i="54"/>
  <c r="AC310" i="54"/>
  <c r="AD310" i="54"/>
  <c r="AE310" i="54"/>
  <c r="AF310" i="54"/>
  <c r="AH310" i="54"/>
  <c r="AE311" i="54"/>
  <c r="AF311" i="54"/>
  <c r="AH311" i="54"/>
  <c r="AC312" i="54"/>
  <c r="AD312" i="54"/>
  <c r="AE312" i="54"/>
  <c r="AF312" i="54"/>
  <c r="AH312" i="54"/>
  <c r="AC313" i="54"/>
  <c r="AD313" i="54"/>
  <c r="AE313" i="54"/>
  <c r="AF313" i="54"/>
  <c r="AH313" i="54"/>
  <c r="AC314" i="54"/>
  <c r="AD314" i="54"/>
  <c r="AE314" i="54"/>
  <c r="AF314" i="54"/>
  <c r="AH314" i="54"/>
  <c r="AC315" i="54"/>
  <c r="AD315" i="54"/>
  <c r="AE315" i="54"/>
  <c r="AF315" i="54"/>
  <c r="AH315" i="54"/>
  <c r="AC316" i="54"/>
  <c r="AD316" i="54"/>
  <c r="AE316" i="54"/>
  <c r="AF316" i="54"/>
  <c r="AH316" i="54"/>
  <c r="AE317" i="54"/>
  <c r="AF317" i="54"/>
  <c r="AH317" i="54"/>
  <c r="AC318" i="54"/>
  <c r="AD318" i="54"/>
  <c r="AE318" i="54"/>
  <c r="AF318" i="54"/>
  <c r="AH318" i="54"/>
  <c r="AC319" i="54"/>
  <c r="AD319" i="54"/>
  <c r="AE319" i="54"/>
  <c r="AF319" i="54"/>
  <c r="AH319" i="54"/>
  <c r="AC320" i="54"/>
  <c r="AD320" i="54"/>
  <c r="AE320" i="54"/>
  <c r="AF320" i="54"/>
  <c r="AH320" i="54"/>
  <c r="AC321" i="54"/>
  <c r="AD321" i="54"/>
  <c r="AE321" i="54"/>
  <c r="AF321" i="54"/>
  <c r="AH321" i="54"/>
  <c r="AC322" i="54"/>
  <c r="AD322" i="54"/>
  <c r="AE322" i="54"/>
  <c r="AF322" i="54"/>
  <c r="AH322" i="54"/>
  <c r="AE323" i="54"/>
  <c r="AF323" i="54"/>
  <c r="AH323" i="54"/>
  <c r="AE261" i="54"/>
  <c r="AF261" i="54"/>
  <c r="AH261" i="54"/>
  <c r="AC262" i="54"/>
  <c r="AD262" i="54"/>
  <c r="AE262" i="54"/>
  <c r="AF262" i="54"/>
  <c r="AH262" i="54"/>
  <c r="AC263" i="54"/>
  <c r="AD263" i="54"/>
  <c r="AE263" i="54"/>
  <c r="AF263" i="54"/>
  <c r="AH263" i="54"/>
  <c r="AE264" i="54"/>
  <c r="AF264" i="54"/>
  <c r="AH264" i="54"/>
  <c r="AC265" i="54"/>
  <c r="AD265" i="54"/>
  <c r="AE265" i="54"/>
  <c r="AF265" i="54"/>
  <c r="AH265" i="54"/>
  <c r="AC266" i="54"/>
  <c r="AD266" i="54"/>
  <c r="AE266" i="54"/>
  <c r="AF266" i="54"/>
  <c r="AH266" i="54"/>
  <c r="AC267" i="54"/>
  <c r="AD267" i="54"/>
  <c r="AE267" i="54"/>
  <c r="AF267" i="54"/>
  <c r="AH267" i="54"/>
  <c r="AC268" i="54"/>
  <c r="AD268" i="54"/>
  <c r="AE268" i="54"/>
  <c r="AF268" i="54"/>
  <c r="AH268" i="54"/>
  <c r="AC269" i="54"/>
  <c r="AD269" i="54"/>
  <c r="AE269" i="54"/>
  <c r="AF269" i="54"/>
  <c r="AH269" i="54"/>
  <c r="AE270" i="54"/>
  <c r="AF270" i="54"/>
  <c r="AH270" i="54"/>
  <c r="AC271" i="54"/>
  <c r="AD271" i="54"/>
  <c r="AE271" i="54"/>
  <c r="AF271" i="54"/>
  <c r="AH271" i="54"/>
  <c r="AC272" i="54"/>
  <c r="AD272" i="54"/>
  <c r="AE272" i="54"/>
  <c r="AF272" i="54"/>
  <c r="AH272" i="54"/>
  <c r="AC273" i="54"/>
  <c r="AD273" i="54"/>
  <c r="AE273" i="54"/>
  <c r="AF273" i="54"/>
  <c r="AH273" i="54"/>
  <c r="AC274" i="54"/>
  <c r="AD274" i="54"/>
  <c r="AE274" i="54"/>
  <c r="AF274" i="54"/>
  <c r="AH274" i="54"/>
  <c r="AC275" i="54"/>
  <c r="AD275" i="54"/>
  <c r="AE275" i="54"/>
  <c r="AF275" i="54"/>
  <c r="AH275" i="54"/>
  <c r="AE276" i="54"/>
  <c r="AF276" i="54"/>
  <c r="AH276" i="54"/>
  <c r="AE241" i="54"/>
  <c r="AF241" i="54"/>
  <c r="AH241" i="54"/>
  <c r="AC242" i="54"/>
  <c r="AD242" i="54"/>
  <c r="AE242" i="54"/>
  <c r="AF242" i="54"/>
  <c r="AH242" i="54"/>
  <c r="AC243" i="54"/>
  <c r="AD243" i="54"/>
  <c r="AE243" i="54"/>
  <c r="AF243" i="54"/>
  <c r="AH243" i="54"/>
  <c r="AC244" i="54"/>
  <c r="AD244" i="54"/>
  <c r="AE244" i="54"/>
  <c r="AF244" i="54"/>
  <c r="AH244" i="54"/>
  <c r="AC245" i="54"/>
  <c r="AD245" i="54"/>
  <c r="AE245" i="54"/>
  <c r="AF245" i="54"/>
  <c r="AH245" i="54"/>
  <c r="AC246" i="54"/>
  <c r="AD246" i="54"/>
  <c r="AE246" i="54"/>
  <c r="AF246" i="54"/>
  <c r="AH246" i="54"/>
  <c r="AE247" i="54"/>
  <c r="AF247" i="54"/>
  <c r="AH247" i="54"/>
  <c r="AE209" i="54"/>
  <c r="AF209" i="54"/>
  <c r="AH209" i="54"/>
  <c r="AC210" i="54"/>
  <c r="AD210" i="54"/>
  <c r="AE210" i="54"/>
  <c r="AF210" i="54"/>
  <c r="AH210" i="54"/>
  <c r="AC211" i="54"/>
  <c r="AD211" i="54"/>
  <c r="AE211" i="54"/>
  <c r="AF211" i="54"/>
  <c r="AH211" i="54"/>
  <c r="AC212" i="54"/>
  <c r="AD212" i="54"/>
  <c r="AE212" i="54"/>
  <c r="AF212" i="54"/>
  <c r="AH212" i="54"/>
  <c r="AC213" i="54"/>
  <c r="AD213" i="54"/>
  <c r="AE213" i="54"/>
  <c r="AF213" i="54"/>
  <c r="AH213" i="54"/>
  <c r="AC214" i="54"/>
  <c r="AD214" i="54"/>
  <c r="AE214" i="54"/>
  <c r="AF214" i="54"/>
  <c r="AH214" i="54"/>
  <c r="AC215" i="54"/>
  <c r="AD215" i="54"/>
  <c r="AE215" i="54"/>
  <c r="AF215" i="54"/>
  <c r="AH215" i="54"/>
  <c r="AC216" i="54"/>
  <c r="AD216" i="54"/>
  <c r="AE216" i="54"/>
  <c r="AF216" i="54"/>
  <c r="AH216" i="54"/>
  <c r="AC217" i="54"/>
  <c r="AD217" i="54"/>
  <c r="AE217" i="54"/>
  <c r="AF217" i="54"/>
  <c r="AH217" i="54"/>
  <c r="AC218" i="54"/>
  <c r="AD218" i="54"/>
  <c r="AE218" i="54"/>
  <c r="AF218" i="54"/>
  <c r="AH218" i="54"/>
  <c r="AE219" i="54"/>
  <c r="AF219" i="54"/>
  <c r="AH219" i="54"/>
  <c r="AE135" i="54"/>
  <c r="AF135" i="54"/>
  <c r="AH135" i="54"/>
  <c r="AC136" i="54"/>
  <c r="AD136" i="54"/>
  <c r="AE136" i="54"/>
  <c r="AF136" i="54"/>
  <c r="AH136" i="54"/>
  <c r="AC137" i="54"/>
  <c r="AD137" i="54"/>
  <c r="AE137" i="54"/>
  <c r="AF137" i="54"/>
  <c r="AH137" i="54"/>
  <c r="AC138" i="54"/>
  <c r="AD138" i="54"/>
  <c r="AE138" i="54"/>
  <c r="AF138" i="54"/>
  <c r="AH138" i="54"/>
  <c r="AC139" i="54"/>
  <c r="AD139" i="54"/>
  <c r="AE139" i="54"/>
  <c r="AF139" i="54"/>
  <c r="AH139" i="54"/>
  <c r="AC140" i="54"/>
  <c r="AD140" i="54"/>
  <c r="AE140" i="54"/>
  <c r="AF140" i="54"/>
  <c r="AH140" i="54"/>
  <c r="AC141" i="54"/>
  <c r="AD141" i="54"/>
  <c r="AE141" i="54"/>
  <c r="AF141" i="54"/>
  <c r="AH141" i="54"/>
  <c r="AC142" i="54"/>
  <c r="AD142" i="54"/>
  <c r="AE142" i="54"/>
  <c r="AF142" i="54"/>
  <c r="AH142" i="54"/>
  <c r="AE143" i="54"/>
  <c r="AF143" i="54"/>
  <c r="AH143" i="54"/>
  <c r="AC144" i="54"/>
  <c r="AD144" i="54"/>
  <c r="AE144" i="54"/>
  <c r="AF144" i="54"/>
  <c r="AH144" i="54"/>
  <c r="AC145" i="54"/>
  <c r="AD145" i="54"/>
  <c r="AE145" i="54"/>
  <c r="AF145" i="54"/>
  <c r="AH145" i="54"/>
  <c r="AC146" i="54"/>
  <c r="AD146" i="54"/>
  <c r="AE146" i="54"/>
  <c r="AF146" i="54"/>
  <c r="AH146" i="54"/>
  <c r="AC147" i="54"/>
  <c r="AD147" i="54"/>
  <c r="AE147" i="54"/>
  <c r="AF147" i="54"/>
  <c r="AH147" i="54"/>
  <c r="AC148" i="54"/>
  <c r="AD148" i="54"/>
  <c r="AE148" i="54"/>
  <c r="AF148" i="54"/>
  <c r="AH148" i="54"/>
  <c r="AC149" i="54"/>
  <c r="AD149" i="54"/>
  <c r="AE149" i="54"/>
  <c r="AF149" i="54"/>
  <c r="AH149" i="54"/>
  <c r="AC150" i="54"/>
  <c r="AD150" i="54"/>
  <c r="AE150" i="54"/>
  <c r="AF150" i="54"/>
  <c r="AH150" i="54"/>
  <c r="AC151" i="54"/>
  <c r="AD151" i="54"/>
  <c r="AE151" i="54"/>
  <c r="AF151" i="54"/>
  <c r="AH151" i="54"/>
  <c r="AC152" i="54"/>
  <c r="AD152" i="54"/>
  <c r="AE152" i="54"/>
  <c r="AF152" i="54"/>
  <c r="AH152" i="54"/>
  <c r="AE153" i="54"/>
  <c r="AF153" i="54"/>
  <c r="AH153" i="54"/>
  <c r="AC154" i="54"/>
  <c r="AD154" i="54"/>
  <c r="AE154" i="54"/>
  <c r="AF154" i="54"/>
  <c r="AH154" i="54"/>
  <c r="AC155" i="54"/>
  <c r="AD155" i="54"/>
  <c r="AE155" i="54"/>
  <c r="AF155" i="54"/>
  <c r="AH155" i="54"/>
  <c r="AC156" i="54"/>
  <c r="AD156" i="54"/>
  <c r="AE156" i="54"/>
  <c r="AF156" i="54"/>
  <c r="AH156" i="54"/>
  <c r="AC157" i="54"/>
  <c r="AD157" i="54"/>
  <c r="AE157" i="54"/>
  <c r="AF157" i="54"/>
  <c r="AH157" i="54"/>
  <c r="AC158" i="54"/>
  <c r="AD158" i="54"/>
  <c r="AE158" i="54"/>
  <c r="AF158" i="54"/>
  <c r="AH158" i="54"/>
  <c r="AE159" i="54"/>
  <c r="AF159" i="54"/>
  <c r="AH159" i="54"/>
  <c r="AE109" i="54"/>
  <c r="AF109" i="54"/>
  <c r="AH109" i="54"/>
  <c r="AC110" i="54"/>
  <c r="AD110" i="54"/>
  <c r="AE110" i="54"/>
  <c r="AF110" i="54"/>
  <c r="AH110" i="54"/>
  <c r="AC111" i="54"/>
  <c r="AD111" i="54"/>
  <c r="AE111" i="54"/>
  <c r="AF111" i="54"/>
  <c r="AH111" i="54"/>
  <c r="AC112" i="54"/>
  <c r="AD112" i="54"/>
  <c r="AE112" i="54"/>
  <c r="AF112" i="54"/>
  <c r="AH112" i="54"/>
  <c r="AC113" i="54"/>
  <c r="AD113" i="54"/>
  <c r="AE113" i="54"/>
  <c r="AF113" i="54"/>
  <c r="AH113" i="54"/>
  <c r="AC114" i="54"/>
  <c r="AD114" i="54"/>
  <c r="AE114" i="54"/>
  <c r="AF114" i="54"/>
  <c r="AH114" i="54"/>
  <c r="AC115" i="54"/>
  <c r="AD115" i="54"/>
  <c r="AE115" i="54"/>
  <c r="AF115" i="54"/>
  <c r="AH115" i="54"/>
  <c r="AC116" i="54"/>
  <c r="AD116" i="54"/>
  <c r="AE116" i="54"/>
  <c r="AF116" i="54"/>
  <c r="AH116" i="54"/>
  <c r="AE117" i="54"/>
  <c r="AF117" i="54"/>
  <c r="AH117" i="54"/>
  <c r="AE35" i="54"/>
  <c r="AF35" i="54"/>
  <c r="AH35" i="54"/>
  <c r="AC36" i="54"/>
  <c r="AD36" i="54"/>
  <c r="AE36" i="54"/>
  <c r="AF36" i="54"/>
  <c r="AH36" i="54"/>
  <c r="AC37" i="54"/>
  <c r="AD37" i="54"/>
  <c r="AE37" i="54"/>
  <c r="AF37" i="54"/>
  <c r="AH37" i="54"/>
  <c r="AC38" i="54"/>
  <c r="AD38" i="54"/>
  <c r="AE38" i="54"/>
  <c r="AF38" i="54"/>
  <c r="AH38" i="54"/>
  <c r="AC39" i="54"/>
  <c r="AD39" i="54"/>
  <c r="AE39" i="54"/>
  <c r="AF39" i="54"/>
  <c r="AH39" i="54"/>
  <c r="AC40" i="54"/>
  <c r="AD40" i="54"/>
  <c r="AE40" i="54"/>
  <c r="AF40" i="54"/>
  <c r="AH40" i="54"/>
  <c r="AC41" i="54"/>
  <c r="AD41" i="54"/>
  <c r="AE41" i="54"/>
  <c r="AF41" i="54"/>
  <c r="AH41" i="54"/>
  <c r="AC42" i="54"/>
  <c r="AD42" i="54"/>
  <c r="AE42" i="54"/>
  <c r="AF42" i="54"/>
  <c r="AH42" i="54"/>
  <c r="AE43" i="54"/>
  <c r="AF43" i="54"/>
  <c r="AH43" i="54"/>
  <c r="AC44" i="54"/>
  <c r="AD44" i="54"/>
  <c r="AE44" i="54"/>
  <c r="AF44" i="54"/>
  <c r="AH44" i="54"/>
  <c r="AC45" i="54"/>
  <c r="AD45" i="54"/>
  <c r="AE45" i="54"/>
  <c r="AF45" i="54"/>
  <c r="AH45" i="54"/>
  <c r="AC46" i="54"/>
  <c r="AD46" i="54"/>
  <c r="AE46" i="54"/>
  <c r="AF46" i="54"/>
  <c r="AH46" i="54"/>
  <c r="AC47" i="54"/>
  <c r="AD47" i="54"/>
  <c r="AE47" i="54"/>
  <c r="AF47" i="54"/>
  <c r="AH47" i="54"/>
  <c r="AC48" i="54"/>
  <c r="AD48" i="54"/>
  <c r="AE48" i="54"/>
  <c r="AF48" i="54"/>
  <c r="AH48" i="54"/>
  <c r="AC49" i="54"/>
  <c r="AD49" i="54"/>
  <c r="AE49" i="54"/>
  <c r="AF49" i="54"/>
  <c r="AH49" i="54"/>
  <c r="AC50" i="54"/>
  <c r="AD50" i="54"/>
  <c r="AE50" i="54"/>
  <c r="AF50" i="54"/>
  <c r="AH50" i="54"/>
  <c r="AC51" i="54"/>
  <c r="AD51" i="54"/>
  <c r="AE51" i="54"/>
  <c r="AF51" i="54"/>
  <c r="AH51" i="54"/>
  <c r="AC52" i="54"/>
  <c r="AD52" i="54"/>
  <c r="AE52" i="54"/>
  <c r="AF52" i="54"/>
  <c r="AH52" i="54"/>
  <c r="AE53" i="54"/>
  <c r="AF53" i="54"/>
  <c r="AH53" i="54"/>
  <c r="AC54" i="54"/>
  <c r="AD54" i="54"/>
  <c r="AE54" i="54"/>
  <c r="AF54" i="54"/>
  <c r="AH54" i="54"/>
  <c r="AC55" i="54"/>
  <c r="AD55" i="54"/>
  <c r="AE55" i="54"/>
  <c r="AF55" i="54"/>
  <c r="AH55" i="54"/>
  <c r="AC56" i="54"/>
  <c r="AD56" i="54"/>
  <c r="AE56" i="54"/>
  <c r="AF56" i="54"/>
  <c r="AH56" i="54"/>
  <c r="AC57" i="54"/>
  <c r="AD57" i="54"/>
  <c r="AE57" i="54"/>
  <c r="AF57" i="54"/>
  <c r="AH57" i="54"/>
  <c r="AC58" i="54"/>
  <c r="AD58" i="54"/>
  <c r="AE58" i="54"/>
  <c r="AF58" i="54"/>
  <c r="AH58" i="54"/>
  <c r="AE59" i="54"/>
  <c r="AF59" i="54"/>
  <c r="AH59" i="54"/>
  <c r="AE3" i="54"/>
  <c r="AF3" i="54"/>
  <c r="AH3" i="54"/>
  <c r="AC4" i="54"/>
  <c r="AD4" i="54"/>
  <c r="AE4" i="54"/>
  <c r="AF4" i="54"/>
  <c r="AH4" i="54"/>
  <c r="AC5" i="54"/>
  <c r="AD5" i="54"/>
  <c r="AE5" i="54"/>
  <c r="AF5" i="54"/>
  <c r="AH5" i="54"/>
  <c r="AC6" i="54"/>
  <c r="AD6" i="54"/>
  <c r="AE6" i="54"/>
  <c r="AF6" i="54"/>
  <c r="AH6" i="54"/>
  <c r="AC7" i="54"/>
  <c r="AD7" i="54"/>
  <c r="AE7" i="54"/>
  <c r="AF7" i="54"/>
  <c r="AH7" i="54"/>
  <c r="AC8" i="54"/>
  <c r="AD8" i="54"/>
  <c r="AE8" i="54"/>
  <c r="AF8" i="54"/>
  <c r="AH8" i="54"/>
  <c r="AC9" i="54"/>
  <c r="AD9" i="54"/>
  <c r="AE9" i="54"/>
  <c r="AF9" i="54"/>
  <c r="AH9" i="54"/>
  <c r="AC10" i="54"/>
  <c r="AD10" i="54"/>
  <c r="AE10" i="54"/>
  <c r="AF10" i="54"/>
  <c r="AH10" i="54"/>
  <c r="AC11" i="54"/>
  <c r="AD11" i="54"/>
  <c r="AE11" i="54"/>
  <c r="AF11" i="54"/>
  <c r="AH11" i="54"/>
  <c r="AC12" i="54"/>
  <c r="AD12" i="54"/>
  <c r="AE12" i="54"/>
  <c r="AF12" i="54"/>
  <c r="AH12" i="54"/>
  <c r="AE13" i="54"/>
  <c r="AF13" i="54"/>
  <c r="AH13" i="54"/>
  <c r="AG312" i="54" l="1"/>
  <c r="AG310" i="54"/>
  <c r="AG266" i="54"/>
  <c r="AG316" i="54"/>
  <c r="AG274" i="54"/>
  <c r="AG314" i="54"/>
  <c r="AG320" i="54"/>
  <c r="AG313" i="54"/>
  <c r="AG271" i="54"/>
  <c r="AG309" i="54"/>
  <c r="AG268" i="54"/>
  <c r="AG321" i="54"/>
  <c r="AG275" i="54"/>
  <c r="AG272" i="54"/>
  <c r="AG315" i="54"/>
  <c r="AG265" i="54"/>
  <c r="AG318" i="54"/>
  <c r="AG273" i="54"/>
  <c r="AG269" i="54"/>
  <c r="AG267" i="54"/>
  <c r="AG263" i="54"/>
  <c r="AG262" i="54"/>
  <c r="AG322" i="54"/>
  <c r="AG319" i="54"/>
  <c r="AG144" i="54"/>
  <c r="AG141" i="54"/>
  <c r="AG212" i="54"/>
  <c r="AG139" i="54"/>
  <c r="AG156" i="54"/>
  <c r="AG246" i="54"/>
  <c r="AG152" i="54"/>
  <c r="AG137" i="54"/>
  <c r="AG218" i="54"/>
  <c r="AG210" i="54"/>
  <c r="AG245" i="54"/>
  <c r="AG148" i="54"/>
  <c r="AG213" i="54"/>
  <c r="AG150" i="54"/>
  <c r="AG216" i="54"/>
  <c r="AG243" i="54"/>
  <c r="AG151" i="54"/>
  <c r="AG140" i="54"/>
  <c r="AG215" i="54"/>
  <c r="AG244" i="54"/>
  <c r="AG242" i="54"/>
  <c r="AG142" i="54"/>
  <c r="AG146" i="54"/>
  <c r="AG211" i="54"/>
  <c r="AG136" i="54"/>
  <c r="AG214" i="54"/>
  <c r="AG147" i="54"/>
  <c r="AG138" i="54"/>
  <c r="AG217" i="54"/>
  <c r="AG154" i="54"/>
  <c r="AG157" i="54"/>
  <c r="AG155" i="54"/>
  <c r="AG145" i="54"/>
  <c r="AG158" i="54"/>
  <c r="AG149" i="54"/>
  <c r="AG112" i="54"/>
  <c r="AG115" i="54"/>
  <c r="AG110" i="54"/>
  <c r="AG116" i="54"/>
  <c r="AG113" i="54"/>
  <c r="AG114" i="54"/>
  <c r="AG111" i="54"/>
  <c r="AG44" i="54"/>
  <c r="AG37" i="54"/>
  <c r="AG39" i="54"/>
  <c r="AG52" i="54"/>
  <c r="AG46" i="54"/>
  <c r="AG41" i="54"/>
  <c r="AG38" i="54"/>
  <c r="AG50" i="54"/>
  <c r="AG57" i="54"/>
  <c r="AG54" i="54"/>
  <c r="AG45" i="54"/>
  <c r="AG58" i="54"/>
  <c r="AG48" i="54"/>
  <c r="AG55" i="54"/>
  <c r="AG49" i="54"/>
  <c r="AG42" i="54"/>
  <c r="AG36" i="54"/>
  <c r="AG47" i="54"/>
  <c r="AG56" i="54"/>
  <c r="AG40" i="54"/>
  <c r="AG51" i="54"/>
  <c r="AG10" i="54"/>
  <c r="AG8" i="54"/>
  <c r="AG12" i="54"/>
  <c r="AG11" i="54"/>
  <c r="AG5" i="54"/>
  <c r="AG4" i="54"/>
  <c r="AG9" i="54"/>
  <c r="AG7" i="54"/>
  <c r="AG6" i="54"/>
  <c r="B5" i="77" l="1"/>
  <c r="B48" i="77" l="1"/>
  <c r="B46" i="77"/>
  <c r="P46" i="77" s="1"/>
  <c r="B49" i="77"/>
  <c r="P49" i="77" s="1"/>
  <c r="B35" i="77"/>
  <c r="P35" i="77" s="1"/>
  <c r="B19" i="77"/>
  <c r="Q19" i="77" s="1"/>
  <c r="B4" i="77"/>
  <c r="B33" i="77"/>
  <c r="B47" i="77"/>
  <c r="P5" i="77"/>
  <c r="Q5" i="77"/>
  <c r="N6" i="54"/>
  <c r="C6" i="54"/>
  <c r="M6" i="54"/>
  <c r="Z6" i="54"/>
  <c r="B34" i="77"/>
  <c r="Q46" i="77" l="1"/>
  <c r="B54" i="77"/>
  <c r="P54" i="77" s="1"/>
  <c r="B55" i="77"/>
  <c r="B53" i="77"/>
  <c r="B40" i="77"/>
  <c r="P40" i="77" s="1"/>
  <c r="B32" i="77"/>
  <c r="P32" i="77" s="1"/>
  <c r="B12" i="77"/>
  <c r="P12" i="77" s="1"/>
  <c r="P19" i="77"/>
  <c r="Z37" i="54"/>
  <c r="R37" i="54" s="1"/>
  <c r="N37" i="54"/>
  <c r="Z137" i="54"/>
  <c r="Q137" i="54" s="1"/>
  <c r="C111" i="54"/>
  <c r="O111" i="54" s="1"/>
  <c r="M111" i="54"/>
  <c r="C37" i="54"/>
  <c r="X37" i="54" s="1"/>
  <c r="N111" i="54"/>
  <c r="C137" i="54"/>
  <c r="X137" i="54" s="1"/>
  <c r="M137" i="54"/>
  <c r="N137" i="54"/>
  <c r="B18" i="77"/>
  <c r="Q18" i="77" s="1"/>
  <c r="Q35" i="77"/>
  <c r="C146" i="54"/>
  <c r="P146" i="54" s="1"/>
  <c r="Z111" i="54"/>
  <c r="Q111" i="54" s="1"/>
  <c r="M37" i="54"/>
  <c r="Q49" i="77"/>
  <c r="Z217" i="54"/>
  <c r="R217" i="54" s="1"/>
  <c r="B13" i="77"/>
  <c r="B26" i="77"/>
  <c r="Q26" i="77" s="1"/>
  <c r="B20" i="77"/>
  <c r="B6" i="77"/>
  <c r="Q33" i="77"/>
  <c r="P33" i="77"/>
  <c r="B50" i="77"/>
  <c r="P4" i="77"/>
  <c r="Q4" i="77"/>
  <c r="P47" i="77"/>
  <c r="Q47" i="77"/>
  <c r="B36" i="77"/>
  <c r="B41" i="77"/>
  <c r="B21" i="77"/>
  <c r="B7" i="77"/>
  <c r="P48" i="77"/>
  <c r="Q48" i="77"/>
  <c r="B96" i="77"/>
  <c r="P34" i="77"/>
  <c r="Q34" i="77"/>
  <c r="M138" i="54"/>
  <c r="N151" i="54"/>
  <c r="M151" i="54"/>
  <c r="Z46" i="54"/>
  <c r="Q46" i="54" s="1"/>
  <c r="Z151" i="54"/>
  <c r="Q151" i="54" s="1"/>
  <c r="Z212" i="54"/>
  <c r="Q212" i="54" s="1"/>
  <c r="C217" i="54"/>
  <c r="N212" i="54"/>
  <c r="Z51" i="54"/>
  <c r="R51" i="54" s="1"/>
  <c r="M146" i="54"/>
  <c r="Z146" i="54"/>
  <c r="R146" i="54" s="1"/>
  <c r="M217" i="54"/>
  <c r="N51" i="54"/>
  <c r="C212" i="54"/>
  <c r="O212" i="54" s="1"/>
  <c r="M51" i="54"/>
  <c r="N46" i="54"/>
  <c r="M212" i="54"/>
  <c r="C51" i="54"/>
  <c r="O51" i="54" s="1"/>
  <c r="C151" i="54"/>
  <c r="M46" i="54"/>
  <c r="C46" i="54"/>
  <c r="P46" i="54" s="1"/>
  <c r="N217" i="54"/>
  <c r="N146" i="54"/>
  <c r="Z45" i="54"/>
  <c r="C5" i="54"/>
  <c r="Z5" i="54"/>
  <c r="N5" i="54"/>
  <c r="M5" i="54"/>
  <c r="Q6" i="54"/>
  <c r="R6" i="54"/>
  <c r="C11" i="54"/>
  <c r="Z11" i="54"/>
  <c r="N11" i="54"/>
  <c r="M11" i="54"/>
  <c r="P6" i="54"/>
  <c r="X6" i="54"/>
  <c r="O6" i="54"/>
  <c r="Q54" i="77" l="1"/>
  <c r="Q40" i="77"/>
  <c r="Q32" i="77"/>
  <c r="P96" i="77"/>
  <c r="Q96" i="77"/>
  <c r="B39" i="77"/>
  <c r="P39" i="77" s="1"/>
  <c r="B103" i="77"/>
  <c r="Q12" i="77"/>
  <c r="B100" i="77"/>
  <c r="B104" i="77"/>
  <c r="B97" i="77"/>
  <c r="Q217" i="54"/>
  <c r="O37" i="54"/>
  <c r="P37" i="54"/>
  <c r="P111" i="54"/>
  <c r="X111" i="54"/>
  <c r="Y114" i="54"/>
  <c r="R137" i="54"/>
  <c r="P18" i="77"/>
  <c r="R111" i="54"/>
  <c r="O146" i="54"/>
  <c r="Q37" i="54"/>
  <c r="P137" i="54"/>
  <c r="O137" i="54"/>
  <c r="Y140" i="54"/>
  <c r="M213" i="54"/>
  <c r="M47" i="54"/>
  <c r="N213" i="54"/>
  <c r="M116" i="54"/>
  <c r="P26" i="77"/>
  <c r="C47" i="54"/>
  <c r="O47" i="54" s="1"/>
  <c r="Z213" i="54"/>
  <c r="R213" i="54" s="1"/>
  <c r="N147" i="54"/>
  <c r="N47" i="54"/>
  <c r="Z147" i="54"/>
  <c r="Q147" i="54" s="1"/>
  <c r="C147" i="54"/>
  <c r="Y170" i="54" s="1"/>
  <c r="Z47" i="54"/>
  <c r="Q47" i="54" s="1"/>
  <c r="M147" i="54"/>
  <c r="C213" i="54"/>
  <c r="O213" i="54" s="1"/>
  <c r="B27" i="77"/>
  <c r="Q27" i="77" s="1"/>
  <c r="P41" i="77"/>
  <c r="Q41" i="77"/>
  <c r="P50" i="77"/>
  <c r="Q50" i="77"/>
  <c r="B8" i="77"/>
  <c r="B22" i="77"/>
  <c r="Q55" i="77"/>
  <c r="P55" i="77"/>
  <c r="Q53" i="77"/>
  <c r="P53" i="77"/>
  <c r="Q7" i="77"/>
  <c r="P7" i="77"/>
  <c r="P21" i="77"/>
  <c r="Q21" i="77"/>
  <c r="Q13" i="77"/>
  <c r="P13" i="77"/>
  <c r="B25" i="77"/>
  <c r="B11" i="77"/>
  <c r="P6" i="77"/>
  <c r="Q6" i="77"/>
  <c r="P36" i="77"/>
  <c r="Q36" i="77"/>
  <c r="P20" i="77"/>
  <c r="Q20" i="77"/>
  <c r="R212" i="54"/>
  <c r="P212" i="54"/>
  <c r="C42" i="54"/>
  <c r="Y55" i="54" s="1"/>
  <c r="Y82" i="54"/>
  <c r="Q146" i="54"/>
  <c r="M42" i="54"/>
  <c r="Z142" i="54"/>
  <c r="Q142" i="54" s="1"/>
  <c r="N42" i="54"/>
  <c r="N116" i="54"/>
  <c r="M142" i="54"/>
  <c r="Z42" i="54"/>
  <c r="Q42" i="54" s="1"/>
  <c r="C145" i="54"/>
  <c r="O145" i="54" s="1"/>
  <c r="C116" i="54"/>
  <c r="Y129" i="54" s="1"/>
  <c r="C142" i="54"/>
  <c r="Y155" i="54" s="1"/>
  <c r="P51" i="54"/>
  <c r="M145" i="54"/>
  <c r="Z116" i="54"/>
  <c r="Q116" i="54" s="1"/>
  <c r="N142" i="54"/>
  <c r="C45" i="54"/>
  <c r="O45" i="54" s="1"/>
  <c r="N45" i="54"/>
  <c r="Z145" i="54"/>
  <c r="Q145" i="54" s="1"/>
  <c r="Q51" i="54"/>
  <c r="R46" i="54"/>
  <c r="N145" i="54"/>
  <c r="P217" i="54"/>
  <c r="C211" i="54"/>
  <c r="Y214" i="54" s="1"/>
  <c r="O217" i="54"/>
  <c r="M45" i="54"/>
  <c r="M38" i="54"/>
  <c r="N112" i="54"/>
  <c r="Y232" i="54"/>
  <c r="Z211" i="54"/>
  <c r="Q211" i="54" s="1"/>
  <c r="O151" i="54"/>
  <c r="M211" i="54"/>
  <c r="R151" i="54"/>
  <c r="O46" i="54"/>
  <c r="P151" i="54"/>
  <c r="N211" i="54"/>
  <c r="M112" i="54"/>
  <c r="Y182" i="54"/>
  <c r="Z138" i="54"/>
  <c r="R138" i="54" s="1"/>
  <c r="N138" i="54"/>
  <c r="C38" i="54"/>
  <c r="P38" i="54" s="1"/>
  <c r="N38" i="54"/>
  <c r="C112" i="54"/>
  <c r="P112" i="54" s="1"/>
  <c r="Z112" i="54"/>
  <c r="R112" i="54" s="1"/>
  <c r="C138" i="54"/>
  <c r="Z38" i="54"/>
  <c r="Q38" i="54" s="1"/>
  <c r="C245" i="54"/>
  <c r="Z157" i="54"/>
  <c r="N245" i="54"/>
  <c r="M245" i="54"/>
  <c r="C57" i="54"/>
  <c r="M57" i="54"/>
  <c r="Z245" i="54"/>
  <c r="C157" i="54"/>
  <c r="N57" i="54"/>
  <c r="M157" i="54"/>
  <c r="Z57" i="54"/>
  <c r="N157" i="54"/>
  <c r="N216" i="54"/>
  <c r="C150" i="54"/>
  <c r="C50" i="54"/>
  <c r="Z150" i="54"/>
  <c r="N50" i="54"/>
  <c r="M216" i="54"/>
  <c r="C216" i="54"/>
  <c r="M150" i="54"/>
  <c r="Z216" i="54"/>
  <c r="N150" i="54"/>
  <c r="M50" i="54"/>
  <c r="Z50" i="54"/>
  <c r="N246" i="54"/>
  <c r="M58" i="54"/>
  <c r="M158" i="54"/>
  <c r="C58" i="54"/>
  <c r="Z246" i="54"/>
  <c r="N58" i="54"/>
  <c r="M246" i="54"/>
  <c r="C246" i="54"/>
  <c r="N158" i="54"/>
  <c r="Z158" i="54"/>
  <c r="Z58" i="54"/>
  <c r="C158" i="54"/>
  <c r="C115" i="54"/>
  <c r="N141" i="54"/>
  <c r="M115" i="54"/>
  <c r="Z141" i="54"/>
  <c r="Z115" i="54"/>
  <c r="C41" i="54"/>
  <c r="Z41" i="54"/>
  <c r="M41" i="54"/>
  <c r="M141" i="54"/>
  <c r="C141" i="54"/>
  <c r="N115" i="54"/>
  <c r="N41" i="54"/>
  <c r="N218" i="54"/>
  <c r="C52" i="54"/>
  <c r="Z152" i="54"/>
  <c r="C218" i="54"/>
  <c r="Z218" i="54"/>
  <c r="M152" i="54"/>
  <c r="N152" i="54"/>
  <c r="M52" i="54"/>
  <c r="Z52" i="54"/>
  <c r="C152" i="54"/>
  <c r="M218" i="54"/>
  <c r="N52" i="54"/>
  <c r="Q45" i="54"/>
  <c r="R45" i="54"/>
  <c r="N12" i="54"/>
  <c r="M12" i="54"/>
  <c r="Z12" i="54"/>
  <c r="C12" i="54"/>
  <c r="C7" i="54"/>
  <c r="N7" i="54"/>
  <c r="Z7" i="54"/>
  <c r="M7" i="54"/>
  <c r="Q11" i="54"/>
  <c r="R11" i="54"/>
  <c r="P11" i="54"/>
  <c r="W11" i="54"/>
  <c r="O11" i="54"/>
  <c r="Q5" i="54"/>
  <c r="R5" i="54"/>
  <c r="N10" i="54"/>
  <c r="C10" i="54"/>
  <c r="M10" i="54"/>
  <c r="Z10" i="54"/>
  <c r="O5" i="54"/>
  <c r="P5" i="54"/>
  <c r="X5" i="54"/>
  <c r="Q39" i="77" l="1"/>
  <c r="Q103" i="77"/>
  <c r="P103" i="77"/>
  <c r="Q97" i="77"/>
  <c r="P97" i="77"/>
  <c r="Q104" i="77"/>
  <c r="P104" i="77"/>
  <c r="Q100" i="77"/>
  <c r="P100" i="77"/>
  <c r="R147" i="54"/>
  <c r="Y70" i="54"/>
  <c r="P47" i="54"/>
  <c r="P147" i="54"/>
  <c r="O147" i="54"/>
  <c r="Q213" i="54"/>
  <c r="R47" i="54"/>
  <c r="P27" i="77"/>
  <c r="Y220" i="54"/>
  <c r="P213" i="54"/>
  <c r="P11" i="77"/>
  <c r="Q11" i="77"/>
  <c r="P25" i="77"/>
  <c r="Q25" i="77"/>
  <c r="P22" i="77"/>
  <c r="Q22" i="77"/>
  <c r="Q8" i="77"/>
  <c r="P8" i="77"/>
  <c r="R142" i="54"/>
  <c r="P142" i="54"/>
  <c r="Y164" i="54"/>
  <c r="O116" i="54"/>
  <c r="P42" i="54"/>
  <c r="P211" i="54"/>
  <c r="Q138" i="54"/>
  <c r="O142" i="54"/>
  <c r="O42" i="54"/>
  <c r="R42" i="54"/>
  <c r="P145" i="54"/>
  <c r="R145" i="54"/>
  <c r="P45" i="54"/>
  <c r="Y43" i="54"/>
  <c r="P116" i="54"/>
  <c r="R116" i="54"/>
  <c r="P138" i="54"/>
  <c r="Y143" i="54"/>
  <c r="O38" i="54"/>
  <c r="O211" i="54"/>
  <c r="R38" i="54"/>
  <c r="O138" i="54"/>
  <c r="R211" i="54"/>
  <c r="Q112" i="54"/>
  <c r="O112" i="54"/>
  <c r="Y117" i="54"/>
  <c r="Y235" i="54"/>
  <c r="P218" i="54"/>
  <c r="O218" i="54"/>
  <c r="Q141" i="54"/>
  <c r="R141" i="54"/>
  <c r="Q158" i="54"/>
  <c r="R158" i="54"/>
  <c r="R152" i="54"/>
  <c r="Q152" i="54"/>
  <c r="R50" i="54"/>
  <c r="Q50" i="54"/>
  <c r="R150" i="54"/>
  <c r="Q150" i="54"/>
  <c r="O57" i="54"/>
  <c r="P57" i="54"/>
  <c r="O152" i="54"/>
  <c r="P152" i="54"/>
  <c r="Y185" i="54"/>
  <c r="P52" i="54"/>
  <c r="Y85" i="54"/>
  <c r="O52" i="54"/>
  <c r="Y152" i="54"/>
  <c r="O141" i="54"/>
  <c r="P141" i="54"/>
  <c r="O246" i="54"/>
  <c r="P246" i="54"/>
  <c r="P50" i="54"/>
  <c r="O50" i="54"/>
  <c r="Y79" i="54"/>
  <c r="R52" i="54"/>
  <c r="Q52" i="54"/>
  <c r="Y126" i="54"/>
  <c r="O115" i="54"/>
  <c r="P115" i="54"/>
  <c r="Y179" i="54"/>
  <c r="O150" i="54"/>
  <c r="P150" i="54"/>
  <c r="Q57" i="54"/>
  <c r="R57" i="54"/>
  <c r="Q216" i="54"/>
  <c r="R216" i="54"/>
  <c r="Q157" i="54"/>
  <c r="R157" i="54"/>
  <c r="R41" i="54"/>
  <c r="Q41" i="54"/>
  <c r="Q246" i="54"/>
  <c r="R246" i="54"/>
  <c r="O245" i="54"/>
  <c r="P245" i="54"/>
  <c r="O41" i="54"/>
  <c r="P41" i="54"/>
  <c r="P158" i="54"/>
  <c r="O158" i="54"/>
  <c r="O58" i="54"/>
  <c r="P58" i="54"/>
  <c r="P216" i="54"/>
  <c r="O216" i="54"/>
  <c r="Y229" i="54"/>
  <c r="O157" i="54"/>
  <c r="P157" i="54"/>
  <c r="R218" i="54"/>
  <c r="Q218" i="54"/>
  <c r="R115" i="54"/>
  <c r="Q115" i="54"/>
  <c r="Q58" i="54"/>
  <c r="R58" i="54"/>
  <c r="Q245" i="54"/>
  <c r="R245" i="54"/>
  <c r="Q10" i="54"/>
  <c r="R10" i="54"/>
  <c r="Q7" i="54"/>
  <c r="R7" i="54"/>
  <c r="P10" i="54"/>
  <c r="O10" i="54"/>
  <c r="O7" i="54"/>
  <c r="Y14" i="54"/>
  <c r="P7" i="54"/>
  <c r="Y29" i="54"/>
  <c r="P12" i="54"/>
  <c r="O12" i="54"/>
  <c r="Q12" i="54"/>
  <c r="R12" i="54"/>
  <c r="W6" i="54" l="1"/>
  <c r="X11" i="54" l="1"/>
  <c r="B59" i="77" l="1"/>
  <c r="B60" i="77"/>
  <c r="B77" i="77"/>
  <c r="B76" i="77"/>
  <c r="B75" i="77"/>
  <c r="B58" i="77"/>
  <c r="Z309" i="54"/>
  <c r="C263" i="54"/>
  <c r="Z263" i="54"/>
  <c r="N263" i="54"/>
  <c r="M263" i="54"/>
  <c r="C310" i="54"/>
  <c r="M310" i="54"/>
  <c r="Z310" i="54"/>
  <c r="N310" i="54"/>
  <c r="C268" i="54"/>
  <c r="Z268" i="54"/>
  <c r="N268" i="54"/>
  <c r="M268" i="54"/>
  <c r="B72" i="77" l="1"/>
  <c r="B68" i="77"/>
  <c r="P60" i="77"/>
  <c r="Q60" i="77"/>
  <c r="P59" i="77"/>
  <c r="Q59" i="77"/>
  <c r="C266" i="54"/>
  <c r="B65" i="77"/>
  <c r="N315" i="54"/>
  <c r="B83" i="77"/>
  <c r="Z313" i="54"/>
  <c r="B84" i="77"/>
  <c r="B66" i="77"/>
  <c r="Q66" i="77" s="1"/>
  <c r="D75" i="77"/>
  <c r="C76" i="77"/>
  <c r="H76" i="77" s="1"/>
  <c r="P76" i="77"/>
  <c r="Q76" i="77"/>
  <c r="B89" i="77"/>
  <c r="P77" i="77"/>
  <c r="Q77" i="77"/>
  <c r="B63" i="77"/>
  <c r="D58" i="77"/>
  <c r="C59" i="77"/>
  <c r="C309" i="54"/>
  <c r="P309" i="54" s="1"/>
  <c r="M309" i="54"/>
  <c r="N309" i="54"/>
  <c r="Z322" i="54"/>
  <c r="M322" i="54"/>
  <c r="C322" i="54"/>
  <c r="N322" i="54"/>
  <c r="Z274" i="54"/>
  <c r="M274" i="54"/>
  <c r="N274" i="54"/>
  <c r="C274" i="54"/>
  <c r="C267" i="54"/>
  <c r="N267" i="54"/>
  <c r="Z267" i="54"/>
  <c r="M267" i="54"/>
  <c r="R268" i="54"/>
  <c r="Q268" i="54"/>
  <c r="Q309" i="54"/>
  <c r="R309" i="54"/>
  <c r="Y281" i="54"/>
  <c r="O268" i="54"/>
  <c r="P268" i="54"/>
  <c r="W268" i="54"/>
  <c r="C275" i="54"/>
  <c r="N275" i="54"/>
  <c r="Z275" i="54"/>
  <c r="M275" i="54"/>
  <c r="R310" i="54"/>
  <c r="Q310" i="54"/>
  <c r="Q263" i="54"/>
  <c r="R263" i="54"/>
  <c r="W263" i="54"/>
  <c r="Y266" i="54"/>
  <c r="P263" i="54"/>
  <c r="O263" i="54"/>
  <c r="O310" i="54"/>
  <c r="P310" i="54"/>
  <c r="Y313" i="54"/>
  <c r="B71" i="77" l="1"/>
  <c r="Q71" i="77" s="1"/>
  <c r="B70" i="77"/>
  <c r="M273" i="54"/>
  <c r="Z273" i="54"/>
  <c r="R273" i="54" s="1"/>
  <c r="N273" i="54"/>
  <c r="C273" i="54"/>
  <c r="Y296" i="54" s="1"/>
  <c r="Q72" i="77"/>
  <c r="P72" i="77"/>
  <c r="Z315" i="54"/>
  <c r="R315" i="54" s="1"/>
  <c r="C315" i="54"/>
  <c r="P315" i="54" s="1"/>
  <c r="B82" i="77"/>
  <c r="P82" i="77" s="1"/>
  <c r="M315" i="54"/>
  <c r="B67" i="77"/>
  <c r="M266" i="54"/>
  <c r="N266" i="54"/>
  <c r="Z266" i="54"/>
  <c r="R266" i="54" s="1"/>
  <c r="P66" i="77"/>
  <c r="Z320" i="54"/>
  <c r="R320" i="54" s="1"/>
  <c r="C316" i="54"/>
  <c r="P316" i="54" s="1"/>
  <c r="N316" i="54"/>
  <c r="Z316" i="54"/>
  <c r="Q316" i="54" s="1"/>
  <c r="M316" i="54"/>
  <c r="N262" i="54"/>
  <c r="C313" i="54"/>
  <c r="Y322" i="54" s="1"/>
  <c r="N313" i="54"/>
  <c r="M313" i="54"/>
  <c r="Z262" i="54"/>
  <c r="R262" i="54" s="1"/>
  <c r="C262" i="54"/>
  <c r="Y263" i="54" s="1"/>
  <c r="M262" i="54"/>
  <c r="G76" i="77"/>
  <c r="Q89" i="77"/>
  <c r="P89" i="77"/>
  <c r="B78" i="77"/>
  <c r="P83" i="77"/>
  <c r="Q83" i="77"/>
  <c r="P84" i="77"/>
  <c r="Q84" i="77"/>
  <c r="B80" i="77"/>
  <c r="B88" i="77"/>
  <c r="B85" i="77"/>
  <c r="O76" i="77"/>
  <c r="C77" i="77"/>
  <c r="Q65" i="77"/>
  <c r="P65" i="77"/>
  <c r="P63" i="77"/>
  <c r="Q63" i="77"/>
  <c r="Q68" i="77"/>
  <c r="P68" i="77"/>
  <c r="O59" i="77"/>
  <c r="C60" i="77"/>
  <c r="E59" i="77" s="1"/>
  <c r="H59" i="77"/>
  <c r="G59" i="77"/>
  <c r="B61" i="77"/>
  <c r="O309" i="54"/>
  <c r="C308" i="54"/>
  <c r="O308" i="54" s="1"/>
  <c r="N311" i="54"/>
  <c r="N308" i="54"/>
  <c r="Z308" i="54"/>
  <c r="R308" i="54" s="1"/>
  <c r="M308" i="54"/>
  <c r="Y310" i="54"/>
  <c r="C321" i="54"/>
  <c r="Z321" i="54"/>
  <c r="N321" i="54"/>
  <c r="M321" i="54"/>
  <c r="R313" i="54"/>
  <c r="Q313" i="54"/>
  <c r="Q274" i="54"/>
  <c r="R274" i="54"/>
  <c r="C261" i="54"/>
  <c r="N261" i="54"/>
  <c r="M261" i="54"/>
  <c r="Z261" i="54"/>
  <c r="Z269" i="54"/>
  <c r="M269" i="54"/>
  <c r="N269" i="54"/>
  <c r="C269" i="54"/>
  <c r="R275" i="54"/>
  <c r="Q275" i="54"/>
  <c r="Z265" i="54"/>
  <c r="C265" i="54"/>
  <c r="M265" i="54"/>
  <c r="N265" i="54"/>
  <c r="O266" i="54"/>
  <c r="P266" i="54"/>
  <c r="W266" i="54"/>
  <c r="Y275" i="54"/>
  <c r="Q267" i="54"/>
  <c r="R267" i="54"/>
  <c r="C311" i="54"/>
  <c r="X275" i="54"/>
  <c r="Y302" i="54"/>
  <c r="P275" i="54"/>
  <c r="O275" i="54"/>
  <c r="O322" i="54"/>
  <c r="P322" i="54"/>
  <c r="O267" i="54"/>
  <c r="Y278" i="54"/>
  <c r="P267" i="54"/>
  <c r="W267" i="54"/>
  <c r="P274" i="54"/>
  <c r="W274" i="54"/>
  <c r="O274" i="54"/>
  <c r="Y299" i="54"/>
  <c r="R322" i="54"/>
  <c r="Q322" i="54"/>
  <c r="Q273" i="54" l="1"/>
  <c r="W273" i="54"/>
  <c r="P273" i="54"/>
  <c r="O273" i="54"/>
  <c r="P71" i="77"/>
  <c r="Q82" i="77"/>
  <c r="Q315" i="54"/>
  <c r="Q320" i="54"/>
  <c r="Q266" i="54"/>
  <c r="Y328" i="54"/>
  <c r="O315" i="54"/>
  <c r="W315" i="54"/>
  <c r="P67" i="77"/>
  <c r="Q67" i="77"/>
  <c r="R316" i="54"/>
  <c r="C320" i="54"/>
  <c r="P320" i="54" s="1"/>
  <c r="M320" i="54"/>
  <c r="N320" i="54"/>
  <c r="B87" i="77"/>
  <c r="P87" i="77" s="1"/>
  <c r="O316" i="54"/>
  <c r="Y331" i="54"/>
  <c r="W316" i="54"/>
  <c r="O313" i="54"/>
  <c r="P262" i="54"/>
  <c r="O262" i="54"/>
  <c r="W313" i="54"/>
  <c r="D308" i="54"/>
  <c r="Y309" i="54" s="1"/>
  <c r="W262" i="54"/>
  <c r="Q262" i="54"/>
  <c r="P313" i="54"/>
  <c r="C312" i="54"/>
  <c r="O312" i="54" s="1"/>
  <c r="M312" i="54"/>
  <c r="Z312" i="54"/>
  <c r="R312" i="54" s="1"/>
  <c r="P85" i="77"/>
  <c r="Q85" i="77"/>
  <c r="Q88" i="77"/>
  <c r="P88" i="77"/>
  <c r="E76" i="77"/>
  <c r="C78" i="77"/>
  <c r="H78" i="77" s="1"/>
  <c r="O77" i="77"/>
  <c r="G77" i="77"/>
  <c r="H77" i="77"/>
  <c r="F76" i="77"/>
  <c r="I76" i="77"/>
  <c r="P80" i="77"/>
  <c r="Q80" i="77"/>
  <c r="B79" i="77"/>
  <c r="D79" i="77" s="1"/>
  <c r="N312" i="54"/>
  <c r="P78" i="77"/>
  <c r="Q78" i="77"/>
  <c r="C264" i="54"/>
  <c r="B62" i="77"/>
  <c r="D62" i="77" s="1"/>
  <c r="Q61" i="77"/>
  <c r="P61" i="77"/>
  <c r="Q70" i="77"/>
  <c r="P70" i="77"/>
  <c r="O60" i="77"/>
  <c r="C61" i="77"/>
  <c r="H61" i="77" s="1"/>
  <c r="I59" i="77"/>
  <c r="F59" i="77"/>
  <c r="H60" i="77"/>
  <c r="G60" i="77"/>
  <c r="M311" i="54"/>
  <c r="Z311" i="54"/>
  <c r="Q311" i="54" s="1"/>
  <c r="P308" i="54"/>
  <c r="Q308" i="54"/>
  <c r="C318" i="54"/>
  <c r="M318" i="54"/>
  <c r="Z318" i="54"/>
  <c r="N318" i="54"/>
  <c r="O265" i="54"/>
  <c r="W265" i="54"/>
  <c r="P265" i="54"/>
  <c r="Y272" i="54"/>
  <c r="Q269" i="54"/>
  <c r="R269" i="54"/>
  <c r="Z272" i="54"/>
  <c r="N272" i="54"/>
  <c r="M272" i="54"/>
  <c r="C272" i="54"/>
  <c r="Q265" i="54"/>
  <c r="R265" i="54"/>
  <c r="D261" i="54"/>
  <c r="P261" i="54"/>
  <c r="O261" i="54"/>
  <c r="C271" i="54"/>
  <c r="N271" i="54"/>
  <c r="M271" i="54"/>
  <c r="Z271" i="54"/>
  <c r="Q321" i="54"/>
  <c r="R321" i="54"/>
  <c r="O321" i="54"/>
  <c r="P321" i="54"/>
  <c r="N317" i="54"/>
  <c r="Z317" i="54"/>
  <c r="R261" i="54"/>
  <c r="Q261" i="54"/>
  <c r="O269" i="54"/>
  <c r="Y284" i="54"/>
  <c r="W269" i="54"/>
  <c r="P269" i="54"/>
  <c r="Y316" i="54"/>
  <c r="O311" i="54"/>
  <c r="P311" i="54"/>
  <c r="D311" i="54"/>
  <c r="Q87" i="77" l="1"/>
  <c r="O320" i="54"/>
  <c r="P312" i="54"/>
  <c r="Y319" i="54"/>
  <c r="G309" i="54"/>
  <c r="Z264" i="54"/>
  <c r="Q264" i="54" s="1"/>
  <c r="E309" i="54"/>
  <c r="Y308" i="54"/>
  <c r="L308" i="54"/>
  <c r="Q312" i="54"/>
  <c r="F309" i="54"/>
  <c r="K308" i="54"/>
  <c r="D309" i="54"/>
  <c r="W309" i="54" s="1"/>
  <c r="G78" i="77"/>
  <c r="N264" i="54"/>
  <c r="M264" i="54"/>
  <c r="K76" i="77"/>
  <c r="J76" i="77"/>
  <c r="E77" i="77"/>
  <c r="C79" i="77"/>
  <c r="O78" i="77"/>
  <c r="I77" i="77"/>
  <c r="F77" i="77"/>
  <c r="B81" i="77"/>
  <c r="D81" i="77" s="1"/>
  <c r="C314" i="54"/>
  <c r="Z314" i="54"/>
  <c r="N314" i="54"/>
  <c r="M314" i="54"/>
  <c r="I79" i="77"/>
  <c r="O79" i="77"/>
  <c r="F79" i="77"/>
  <c r="H79" i="77"/>
  <c r="C80" i="77"/>
  <c r="P79" i="77"/>
  <c r="E79" i="77"/>
  <c r="G79" i="77"/>
  <c r="Q79" i="77"/>
  <c r="K59" i="77"/>
  <c r="J59" i="77"/>
  <c r="E60" i="77"/>
  <c r="H62" i="77"/>
  <c r="I62" i="77"/>
  <c r="O62" i="77"/>
  <c r="C63" i="77"/>
  <c r="E62" i="77"/>
  <c r="P62" i="77"/>
  <c r="F62" i="77"/>
  <c r="Q62" i="77"/>
  <c r="G62" i="77"/>
  <c r="C62" i="77"/>
  <c r="E61" i="77" s="1"/>
  <c r="O61" i="77"/>
  <c r="F60" i="77"/>
  <c r="I60" i="77"/>
  <c r="G61" i="77"/>
  <c r="N270" i="54"/>
  <c r="B64" i="77"/>
  <c r="D64" i="77" s="1"/>
  <c r="R311" i="54"/>
  <c r="M317" i="54"/>
  <c r="C317" i="54"/>
  <c r="D317" i="54" s="1"/>
  <c r="X309" i="54"/>
  <c r="P272" i="54"/>
  <c r="O272" i="54"/>
  <c r="Y293" i="54"/>
  <c r="D264" i="54"/>
  <c r="O264" i="54"/>
  <c r="Y269" i="54"/>
  <c r="P264" i="54"/>
  <c r="Y290" i="54"/>
  <c r="O271" i="54"/>
  <c r="P271" i="54"/>
  <c r="Q317" i="54"/>
  <c r="R317" i="54"/>
  <c r="Q272" i="54"/>
  <c r="R272" i="54"/>
  <c r="D262" i="54"/>
  <c r="E262" i="54"/>
  <c r="F262" i="54"/>
  <c r="L261" i="54"/>
  <c r="Y261" i="54"/>
  <c r="G262" i="54"/>
  <c r="Y262" i="54"/>
  <c r="K261" i="54"/>
  <c r="Q318" i="54"/>
  <c r="R318" i="54"/>
  <c r="E312" i="54"/>
  <c r="F312" i="54"/>
  <c r="L311" i="54"/>
  <c r="G312" i="54"/>
  <c r="Y317" i="54"/>
  <c r="Y318" i="54"/>
  <c r="D312" i="54"/>
  <c r="W312" i="54" s="1"/>
  <c r="K311" i="54"/>
  <c r="R271" i="54"/>
  <c r="Q271" i="54"/>
  <c r="Y337" i="54"/>
  <c r="O318" i="54"/>
  <c r="P318" i="54"/>
  <c r="H309" i="54" l="1"/>
  <c r="J309" i="54" s="1"/>
  <c r="Y311" i="54"/>
  <c r="R264" i="54"/>
  <c r="D310" i="54"/>
  <c r="W310" i="54" s="1"/>
  <c r="Y312" i="54"/>
  <c r="G310" i="54"/>
  <c r="C270" i="54"/>
  <c r="O270" i="54" s="1"/>
  <c r="F310" i="54"/>
  <c r="E310" i="54"/>
  <c r="M270" i="54"/>
  <c r="Z270" i="54"/>
  <c r="Q270" i="54" s="1"/>
  <c r="P317" i="54"/>
  <c r="O317" i="54"/>
  <c r="Y334" i="54"/>
  <c r="K77" i="77"/>
  <c r="J79" i="77"/>
  <c r="G81" i="77"/>
  <c r="Q81" i="77"/>
  <c r="E81" i="77"/>
  <c r="H81" i="77"/>
  <c r="C82" i="77"/>
  <c r="O81" i="77"/>
  <c r="P81" i="77"/>
  <c r="I81" i="77"/>
  <c r="F81" i="77"/>
  <c r="B86" i="77"/>
  <c r="D86" i="77" s="1"/>
  <c r="Z319" i="54"/>
  <c r="C319" i="54"/>
  <c r="N319" i="54"/>
  <c r="M319" i="54"/>
  <c r="G80" i="77"/>
  <c r="O80" i="77"/>
  <c r="C81" i="77"/>
  <c r="H80" i="77" s="1"/>
  <c r="Q314" i="54"/>
  <c r="R314" i="54"/>
  <c r="O314" i="54"/>
  <c r="Y325" i="54"/>
  <c r="P314" i="54"/>
  <c r="E78" i="77"/>
  <c r="I78" i="77"/>
  <c r="F78" i="77"/>
  <c r="K79" i="77"/>
  <c r="J77" i="77"/>
  <c r="K62" i="77"/>
  <c r="K60" i="77"/>
  <c r="J62" i="77"/>
  <c r="O63" i="77"/>
  <c r="C64" i="77"/>
  <c r="E63" i="77" s="1"/>
  <c r="G63" i="77"/>
  <c r="I64" i="77"/>
  <c r="Q64" i="77"/>
  <c r="O64" i="77"/>
  <c r="C65" i="77"/>
  <c r="P64" i="77"/>
  <c r="H64" i="77"/>
  <c r="F64" i="77"/>
  <c r="E64" i="77"/>
  <c r="G64" i="77"/>
  <c r="F61" i="77"/>
  <c r="I61" i="77"/>
  <c r="B69" i="77"/>
  <c r="D69" i="77" s="1"/>
  <c r="M276" i="54"/>
  <c r="J60" i="77"/>
  <c r="H312" i="54"/>
  <c r="J312" i="54" s="1"/>
  <c r="H262" i="54"/>
  <c r="J262" i="54" s="1"/>
  <c r="Y321" i="54"/>
  <c r="D313" i="54"/>
  <c r="E313" i="54"/>
  <c r="F313" i="54"/>
  <c r="G313" i="54"/>
  <c r="Y320" i="54"/>
  <c r="X312" i="54"/>
  <c r="F263" i="54"/>
  <c r="Y264" i="54"/>
  <c r="G263" i="54"/>
  <c r="Y265" i="54"/>
  <c r="D263" i="54"/>
  <c r="E263" i="54"/>
  <c r="X262" i="54"/>
  <c r="Y336" i="54"/>
  <c r="D318" i="54"/>
  <c r="W318" i="54" s="1"/>
  <c r="E318" i="54"/>
  <c r="F318" i="54"/>
  <c r="L317" i="54"/>
  <c r="G318" i="54"/>
  <c r="Y335" i="54"/>
  <c r="K317" i="54"/>
  <c r="E265" i="54"/>
  <c r="F265" i="54"/>
  <c r="L264" i="54"/>
  <c r="G265" i="54"/>
  <c r="Y271" i="54"/>
  <c r="D265" i="54"/>
  <c r="Y270" i="54"/>
  <c r="K264" i="54"/>
  <c r="X310" i="54"/>
  <c r="I309" i="54" l="1"/>
  <c r="V309" i="54" s="1"/>
  <c r="Y314" i="54"/>
  <c r="Y315" i="54"/>
  <c r="B99" i="77"/>
  <c r="B93" i="77"/>
  <c r="R270" i="54"/>
  <c r="H310" i="54"/>
  <c r="I310" i="54" s="1"/>
  <c r="Y287" i="54"/>
  <c r="D270" i="54"/>
  <c r="E271" i="54" s="1"/>
  <c r="P270" i="54"/>
  <c r="H63" i="77"/>
  <c r="K78" i="77"/>
  <c r="Z276" i="54"/>
  <c r="Q276" i="54" s="1"/>
  <c r="C276" i="54"/>
  <c r="Y305" i="54" s="1"/>
  <c r="N276" i="54"/>
  <c r="Y340" i="54"/>
  <c r="O319" i="54"/>
  <c r="P319" i="54"/>
  <c r="E80" i="77"/>
  <c r="I80" i="77"/>
  <c r="F80" i="77"/>
  <c r="R319" i="54"/>
  <c r="Q319" i="54"/>
  <c r="O82" i="77"/>
  <c r="C83" i="77"/>
  <c r="E82" i="77" s="1"/>
  <c r="G82" i="77"/>
  <c r="J78" i="77"/>
  <c r="E86" i="77"/>
  <c r="P86" i="77"/>
  <c r="C87" i="77"/>
  <c r="I86" i="77"/>
  <c r="F86" i="77"/>
  <c r="G86" i="77"/>
  <c r="H86" i="77"/>
  <c r="Q86" i="77"/>
  <c r="O86" i="77"/>
  <c r="J81" i="77"/>
  <c r="B90" i="77"/>
  <c r="D90" i="77" s="1"/>
  <c r="Z323" i="54"/>
  <c r="M323" i="54"/>
  <c r="N323" i="54"/>
  <c r="C323" i="54"/>
  <c r="K81" i="77"/>
  <c r="K64" i="77"/>
  <c r="J64" i="77"/>
  <c r="B73" i="77"/>
  <c r="D73" i="77" s="1"/>
  <c r="Q69" i="77"/>
  <c r="G69" i="77"/>
  <c r="H69" i="77"/>
  <c r="P69" i="77"/>
  <c r="F69" i="77"/>
  <c r="O69" i="77"/>
  <c r="I69" i="77"/>
  <c r="E69" i="77"/>
  <c r="C70" i="77"/>
  <c r="O65" i="77"/>
  <c r="C66" i="77"/>
  <c r="G65" i="77"/>
  <c r="F63" i="77"/>
  <c r="I63" i="77"/>
  <c r="K61" i="77"/>
  <c r="J61" i="77"/>
  <c r="I312" i="54"/>
  <c r="I262" i="54"/>
  <c r="V262" i="54" s="1"/>
  <c r="H318" i="54"/>
  <c r="J318" i="54" s="1"/>
  <c r="H313" i="54"/>
  <c r="I313" i="54" s="1"/>
  <c r="H265" i="54"/>
  <c r="J265" i="54" s="1"/>
  <c r="G266" i="54"/>
  <c r="D266" i="54"/>
  <c r="E266" i="54"/>
  <c r="F266" i="54"/>
  <c r="Y273" i="54"/>
  <c r="Y274" i="54"/>
  <c r="X265" i="54"/>
  <c r="G319" i="54"/>
  <c r="Y338" i="54"/>
  <c r="Y339" i="54"/>
  <c r="F319" i="54"/>
  <c r="D319" i="54"/>
  <c r="X319" i="54" s="1"/>
  <c r="E319" i="54"/>
  <c r="X318" i="54"/>
  <c r="Y267" i="54"/>
  <c r="Y268" i="54"/>
  <c r="X263" i="54"/>
  <c r="H263" i="54"/>
  <c r="G314" i="54"/>
  <c r="Y324" i="54"/>
  <c r="Y323" i="54"/>
  <c r="E314" i="54"/>
  <c r="D314" i="54"/>
  <c r="W314" i="54" s="1"/>
  <c r="F314" i="54"/>
  <c r="X313" i="54"/>
  <c r="S309" i="54" l="1"/>
  <c r="T309" i="54"/>
  <c r="U309" i="54"/>
  <c r="Q99" i="77"/>
  <c r="P99" i="77"/>
  <c r="P93" i="77"/>
  <c r="Q93" i="77"/>
  <c r="K270" i="54"/>
  <c r="F271" i="54"/>
  <c r="D271" i="54"/>
  <c r="L270" i="54"/>
  <c r="Y288" i="54"/>
  <c r="Y289" i="54"/>
  <c r="G271" i="54"/>
  <c r="B3" i="77"/>
  <c r="B17" i="77"/>
  <c r="Z36" i="54"/>
  <c r="C4" i="54"/>
  <c r="M110" i="54"/>
  <c r="C110" i="54"/>
  <c r="N4" i="54"/>
  <c r="N36" i="54"/>
  <c r="M4" i="54"/>
  <c r="N136" i="54"/>
  <c r="M136" i="54"/>
  <c r="M36" i="54"/>
  <c r="Z110" i="54"/>
  <c r="Z4" i="54"/>
  <c r="C136" i="54"/>
  <c r="Z136" i="54"/>
  <c r="N110" i="54"/>
  <c r="C36" i="54"/>
  <c r="B106" i="77"/>
  <c r="B31" i="77"/>
  <c r="Z210" i="54"/>
  <c r="C210" i="54"/>
  <c r="M144" i="54"/>
  <c r="N44" i="54"/>
  <c r="N210" i="54"/>
  <c r="Z44" i="54"/>
  <c r="C44" i="54"/>
  <c r="C144" i="54"/>
  <c r="Z144" i="54"/>
  <c r="M210" i="54"/>
  <c r="M44" i="54"/>
  <c r="N144" i="54"/>
  <c r="J310" i="54"/>
  <c r="R276" i="54"/>
  <c r="P276" i="54"/>
  <c r="D276" i="54"/>
  <c r="K276" i="54" s="1"/>
  <c r="O276" i="54"/>
  <c r="J63" i="77"/>
  <c r="K80" i="77"/>
  <c r="J80" i="77"/>
  <c r="J86" i="77"/>
  <c r="D323" i="54"/>
  <c r="O323" i="54"/>
  <c r="P323" i="54"/>
  <c r="Y352" i="54"/>
  <c r="Q323" i="54"/>
  <c r="R323" i="54"/>
  <c r="K86" i="77"/>
  <c r="H82" i="77"/>
  <c r="O83" i="77"/>
  <c r="C84" i="77"/>
  <c r="H83" i="77" s="1"/>
  <c r="I82" i="77"/>
  <c r="F82" i="77"/>
  <c r="G83" i="77"/>
  <c r="O87" i="77"/>
  <c r="C88" i="77"/>
  <c r="H87" i="77" s="1"/>
  <c r="G87" i="77"/>
  <c r="K69" i="77"/>
  <c r="C67" i="77"/>
  <c r="H66" i="77" s="1"/>
  <c r="O66" i="77"/>
  <c r="G66" i="77"/>
  <c r="F65" i="77"/>
  <c r="I65" i="77"/>
  <c r="E65" i="77"/>
  <c r="O70" i="77"/>
  <c r="C71" i="77"/>
  <c r="E70" i="77" s="1"/>
  <c r="G70" i="77"/>
  <c r="J69" i="77"/>
  <c r="K63" i="77"/>
  <c r="H65" i="77"/>
  <c r="U312" i="54"/>
  <c r="V312" i="54"/>
  <c r="T312" i="54" s="1"/>
  <c r="S312" i="54"/>
  <c r="S262" i="54"/>
  <c r="U262" i="54" s="1"/>
  <c r="T262" i="54"/>
  <c r="I318" i="54"/>
  <c r="U318" i="54" s="1"/>
  <c r="J313" i="54"/>
  <c r="I265" i="54"/>
  <c r="V265" i="54" s="1"/>
  <c r="E320" i="54"/>
  <c r="F320" i="54"/>
  <c r="G320" i="54"/>
  <c r="Y341" i="54"/>
  <c r="Y342" i="54"/>
  <c r="Y343" i="54" s="1"/>
  <c r="D320" i="54"/>
  <c r="W320" i="54" s="1"/>
  <c r="W319" i="54"/>
  <c r="D315" i="54"/>
  <c r="E315" i="54"/>
  <c r="F315" i="54"/>
  <c r="G315" i="54"/>
  <c r="Y326" i="54"/>
  <c r="Y327" i="54"/>
  <c r="X314" i="54"/>
  <c r="U310" i="54"/>
  <c r="V310" i="54"/>
  <c r="S310" i="54"/>
  <c r="T310" i="54"/>
  <c r="S313" i="54"/>
  <c r="T313" i="54"/>
  <c r="U313" i="54"/>
  <c r="V313" i="54"/>
  <c r="H319" i="54"/>
  <c r="H314" i="54"/>
  <c r="I263" i="54"/>
  <c r="J263" i="54"/>
  <c r="E267" i="54"/>
  <c r="Y276" i="54"/>
  <c r="F267" i="54"/>
  <c r="G267" i="54"/>
  <c r="D267" i="54"/>
  <c r="Y277" i="54"/>
  <c r="X266" i="54"/>
  <c r="H266" i="54"/>
  <c r="F272" i="54" l="1"/>
  <c r="W271" i="54"/>
  <c r="P106" i="77"/>
  <c r="Q106" i="77"/>
  <c r="E272" i="54"/>
  <c r="H271" i="54"/>
  <c r="I271" i="54" s="1"/>
  <c r="S271" i="54" s="1"/>
  <c r="L276" i="54"/>
  <c r="Y292" i="54"/>
  <c r="D272" i="54"/>
  <c r="Y291" i="54"/>
  <c r="G272" i="54"/>
  <c r="X271" i="54"/>
  <c r="O44" i="54"/>
  <c r="P44" i="54"/>
  <c r="Y61" i="54"/>
  <c r="R4" i="54"/>
  <c r="Q4" i="54"/>
  <c r="O110" i="54"/>
  <c r="P110" i="54"/>
  <c r="Y111" i="54"/>
  <c r="R44" i="54"/>
  <c r="Q44" i="54"/>
  <c r="R110" i="54"/>
  <c r="Q110" i="54"/>
  <c r="Y5" i="54"/>
  <c r="O4" i="54"/>
  <c r="P4" i="54"/>
  <c r="B45" i="77"/>
  <c r="M54" i="54"/>
  <c r="C54" i="54"/>
  <c r="Z242" i="54"/>
  <c r="M242" i="54"/>
  <c r="C154" i="54"/>
  <c r="C242" i="54"/>
  <c r="N154" i="54"/>
  <c r="Z54" i="54"/>
  <c r="N242" i="54"/>
  <c r="Z154" i="54"/>
  <c r="M154" i="54"/>
  <c r="N54" i="54"/>
  <c r="R36" i="54"/>
  <c r="Q36" i="54"/>
  <c r="Y37" i="54"/>
  <c r="O36" i="54"/>
  <c r="P36" i="54"/>
  <c r="Q17" i="77"/>
  <c r="P17" i="77"/>
  <c r="Y211" i="54"/>
  <c r="P210" i="54"/>
  <c r="O210" i="54"/>
  <c r="P3" i="77"/>
  <c r="Q3" i="77"/>
  <c r="R144" i="54"/>
  <c r="Q144" i="54"/>
  <c r="R210" i="54"/>
  <c r="Q210" i="54"/>
  <c r="R136" i="54"/>
  <c r="Q136" i="54"/>
  <c r="Y161" i="54"/>
  <c r="P144" i="54"/>
  <c r="O144" i="54"/>
  <c r="Q31" i="77"/>
  <c r="P31" i="77"/>
  <c r="Y137" i="54"/>
  <c r="P136" i="54"/>
  <c r="O136" i="54"/>
  <c r="K82" i="77"/>
  <c r="E66" i="77"/>
  <c r="J82" i="77"/>
  <c r="E83" i="77"/>
  <c r="O84" i="77"/>
  <c r="C85" i="77"/>
  <c r="H84" i="77" s="1"/>
  <c r="I83" i="77"/>
  <c r="G84" i="77"/>
  <c r="F83" i="77"/>
  <c r="E87" i="77"/>
  <c r="C89" i="77"/>
  <c r="E88" i="77" s="1"/>
  <c r="O88" i="77"/>
  <c r="G88" i="77"/>
  <c r="H88" i="77"/>
  <c r="F87" i="77"/>
  <c r="I87" i="77"/>
  <c r="L323" i="54"/>
  <c r="K323" i="54"/>
  <c r="H70" i="77"/>
  <c r="K65" i="77"/>
  <c r="J65" i="77"/>
  <c r="O71" i="77"/>
  <c r="C72" i="77"/>
  <c r="E71" i="77" s="1"/>
  <c r="G71" i="77"/>
  <c r="H71" i="77"/>
  <c r="F70" i="77"/>
  <c r="I70" i="77"/>
  <c r="C68" i="77"/>
  <c r="E67" i="77" s="1"/>
  <c r="O67" i="77"/>
  <c r="I66" i="77"/>
  <c r="G67" i="77"/>
  <c r="F66" i="77"/>
  <c r="V318" i="54"/>
  <c r="T318" i="54" s="1"/>
  <c r="U265" i="54"/>
  <c r="T265" i="54"/>
  <c r="S318" i="54"/>
  <c r="S265" i="54"/>
  <c r="H320" i="54"/>
  <c r="J320" i="54" s="1"/>
  <c r="H267" i="54"/>
  <c r="I267" i="54" s="1"/>
  <c r="G268" i="54"/>
  <c r="Y280" i="54"/>
  <c r="Y279" i="54"/>
  <c r="D268" i="54"/>
  <c r="E268" i="54"/>
  <c r="F268" i="54"/>
  <c r="X267" i="54"/>
  <c r="S263" i="54"/>
  <c r="T263" i="54"/>
  <c r="U263" i="54"/>
  <c r="V263" i="54"/>
  <c r="Y330" i="54"/>
  <c r="F316" i="54"/>
  <c r="Y329" i="54"/>
  <c r="G316" i="54"/>
  <c r="E316" i="54"/>
  <c r="D316" i="54"/>
  <c r="X315" i="54"/>
  <c r="G321" i="54"/>
  <c r="Y345" i="54"/>
  <c r="Y346" i="54" s="1"/>
  <c r="F321" i="54"/>
  <c r="Y344" i="54"/>
  <c r="D321" i="54"/>
  <c r="W321" i="54" s="1"/>
  <c r="E321" i="54"/>
  <c r="X320" i="54"/>
  <c r="I266" i="54"/>
  <c r="J266" i="54"/>
  <c r="I314" i="54"/>
  <c r="J314" i="54"/>
  <c r="J319" i="54"/>
  <c r="I319" i="54"/>
  <c r="H315" i="54"/>
  <c r="H272" i="54" l="1"/>
  <c r="J272" i="54" s="1"/>
  <c r="D273" i="54"/>
  <c r="F274" i="54" s="1"/>
  <c r="X272" i="54"/>
  <c r="V271" i="54"/>
  <c r="U271" i="54"/>
  <c r="T271" i="54"/>
  <c r="J271" i="54"/>
  <c r="W272" i="54"/>
  <c r="Y294" i="54"/>
  <c r="G273" i="54"/>
  <c r="F273" i="54"/>
  <c r="E273" i="54"/>
  <c r="Y295" i="54"/>
  <c r="P242" i="54"/>
  <c r="O242" i="54"/>
  <c r="Y243" i="54"/>
  <c r="O154" i="54"/>
  <c r="P154" i="54"/>
  <c r="Y191" i="54"/>
  <c r="Q242" i="54"/>
  <c r="R242" i="54"/>
  <c r="R154" i="54"/>
  <c r="Q154" i="54"/>
  <c r="Y91" i="54"/>
  <c r="O54" i="54"/>
  <c r="P54" i="54"/>
  <c r="Q54" i="54"/>
  <c r="R54" i="54"/>
  <c r="P45" i="77"/>
  <c r="Q45" i="77"/>
  <c r="E84" i="77"/>
  <c r="O89" i="77"/>
  <c r="C90" i="77"/>
  <c r="H89" i="77" s="1"/>
  <c r="G89" i="77"/>
  <c r="F88" i="77"/>
  <c r="I88" i="77"/>
  <c r="O85" i="77"/>
  <c r="C86" i="77"/>
  <c r="H85" i="77" s="1"/>
  <c r="F84" i="77"/>
  <c r="I84" i="77"/>
  <c r="G85" i="77"/>
  <c r="J87" i="77"/>
  <c r="J83" i="77"/>
  <c r="K87" i="77"/>
  <c r="K83" i="77"/>
  <c r="K70" i="77"/>
  <c r="K66" i="77"/>
  <c r="H67" i="77"/>
  <c r="C69" i="77"/>
  <c r="O68" i="77"/>
  <c r="F67" i="77"/>
  <c r="I67" i="77"/>
  <c r="G68" i="77"/>
  <c r="C73" i="77"/>
  <c r="H72" i="77" s="1"/>
  <c r="O72" i="77"/>
  <c r="G72" i="77"/>
  <c r="F71" i="77"/>
  <c r="I71" i="77"/>
  <c r="J66" i="77"/>
  <c r="J70" i="77"/>
  <c r="J267" i="54"/>
  <c r="I320" i="54"/>
  <c r="S320" i="54" s="1"/>
  <c r="S314" i="54"/>
  <c r="T314" i="54"/>
  <c r="V314" i="54"/>
  <c r="U314" i="54"/>
  <c r="U267" i="54"/>
  <c r="S267" i="54"/>
  <c r="T267" i="54"/>
  <c r="V267" i="54"/>
  <c r="H321" i="54"/>
  <c r="J315" i="54"/>
  <c r="I315" i="54"/>
  <c r="S266" i="54"/>
  <c r="T266" i="54"/>
  <c r="U266" i="54"/>
  <c r="V266" i="54"/>
  <c r="Y332" i="54"/>
  <c r="Y333" i="54"/>
  <c r="X316" i="54"/>
  <c r="Y283" i="54"/>
  <c r="D269" i="54"/>
  <c r="E269" i="54"/>
  <c r="F269" i="54"/>
  <c r="Y282" i="54"/>
  <c r="G269" i="54"/>
  <c r="X268" i="54"/>
  <c r="V319" i="54"/>
  <c r="T319" i="54" s="1"/>
  <c r="S319" i="54"/>
  <c r="U319" i="54" s="1"/>
  <c r="Y347" i="54"/>
  <c r="F322" i="54"/>
  <c r="Y348" i="54"/>
  <c r="Y349" i="54" s="1"/>
  <c r="G322" i="54"/>
  <c r="D322" i="54"/>
  <c r="X322" i="54" s="1"/>
  <c r="E322" i="54"/>
  <c r="X321" i="54"/>
  <c r="H316" i="54"/>
  <c r="H268" i="54"/>
  <c r="I272" i="54" l="1"/>
  <c r="S272" i="54" s="1"/>
  <c r="Y298" i="54"/>
  <c r="G274" i="54"/>
  <c r="H274" i="54" s="1"/>
  <c r="J274" i="54" s="1"/>
  <c r="Y297" i="54"/>
  <c r="E274" i="54"/>
  <c r="D274" i="54"/>
  <c r="Y300" i="54" s="1"/>
  <c r="X273" i="54"/>
  <c r="H273" i="54"/>
  <c r="J273" i="54" s="1"/>
  <c r="L58" i="77"/>
  <c r="K88" i="77"/>
  <c r="K84" i="77"/>
  <c r="E89" i="77"/>
  <c r="F89" i="77"/>
  <c r="I89" i="77"/>
  <c r="F85" i="77"/>
  <c r="I85" i="77"/>
  <c r="L75" i="77"/>
  <c r="J84" i="77"/>
  <c r="E68" i="77"/>
  <c r="E85" i="77"/>
  <c r="J88" i="77"/>
  <c r="J71" i="77"/>
  <c r="K67" i="77"/>
  <c r="F72" i="77"/>
  <c r="I72" i="77"/>
  <c r="E72" i="77"/>
  <c r="F68" i="77"/>
  <c r="I68" i="77"/>
  <c r="H68" i="77"/>
  <c r="K71" i="77"/>
  <c r="J67" i="77"/>
  <c r="T272" i="54"/>
  <c r="V272" i="54"/>
  <c r="U272" i="54"/>
  <c r="U320" i="54"/>
  <c r="T320" i="54"/>
  <c r="V320" i="54"/>
  <c r="I321" i="54"/>
  <c r="J321" i="54"/>
  <c r="I268" i="54"/>
  <c r="J268" i="54"/>
  <c r="I316" i="54"/>
  <c r="J316" i="54"/>
  <c r="Y285" i="54"/>
  <c r="Y286" i="54"/>
  <c r="X269" i="54"/>
  <c r="Y350" i="54"/>
  <c r="Y351" i="54"/>
  <c r="W322" i="54"/>
  <c r="H322" i="54"/>
  <c r="U315" i="54"/>
  <c r="V315" i="54"/>
  <c r="S315" i="54"/>
  <c r="T315" i="54"/>
  <c r="H269" i="54"/>
  <c r="X274" i="54"/>
  <c r="G275" i="54" l="1"/>
  <c r="H275" i="54" s="1"/>
  <c r="I275" i="54" s="1"/>
  <c r="F275" i="54"/>
  <c r="Y301" i="54"/>
  <c r="E275" i="54"/>
  <c r="D275" i="54"/>
  <c r="Y304" i="54" s="1"/>
  <c r="I273" i="54"/>
  <c r="V273" i="54" s="1"/>
  <c r="K89" i="77"/>
  <c r="K85" i="77"/>
  <c r="J85" i="77"/>
  <c r="J89" i="77"/>
  <c r="J72" i="77"/>
  <c r="K68" i="77"/>
  <c r="K72" i="77"/>
  <c r="J68" i="77"/>
  <c r="I274" i="54"/>
  <c r="V274" i="54" s="1"/>
  <c r="I269" i="54"/>
  <c r="J269" i="54"/>
  <c r="S316" i="54"/>
  <c r="T316" i="54"/>
  <c r="V316" i="54"/>
  <c r="U316" i="54"/>
  <c r="I322" i="54"/>
  <c r="J322" i="54"/>
  <c r="S268" i="54"/>
  <c r="T268" i="54"/>
  <c r="U268" i="54"/>
  <c r="V268" i="54"/>
  <c r="W275" i="54"/>
  <c r="V321" i="54"/>
  <c r="S321" i="54"/>
  <c r="T321" i="54"/>
  <c r="U321" i="54"/>
  <c r="Y303" i="54" l="1"/>
  <c r="S273" i="54"/>
  <c r="T273" i="54"/>
  <c r="U273" i="54"/>
  <c r="T274" i="54"/>
  <c r="S274" i="54"/>
  <c r="U274" i="54"/>
  <c r="J275" i="54"/>
  <c r="S275" i="54"/>
  <c r="T275" i="54"/>
  <c r="U275" i="54"/>
  <c r="V275" i="54"/>
  <c r="S322" i="54"/>
  <c r="T322" i="54"/>
  <c r="U322" i="54"/>
  <c r="V322" i="54"/>
  <c r="S269" i="54"/>
  <c r="U269" i="54"/>
  <c r="V269" i="54"/>
  <c r="T269" i="54"/>
  <c r="Y26" i="54" l="1"/>
  <c r="Y23" i="54"/>
  <c r="Y52" i="54"/>
  <c r="Y217" i="54"/>
  <c r="Y67" i="54"/>
  <c r="Y167" i="54"/>
  <c r="Y11" i="54"/>
  <c r="Y64" i="54"/>
  <c r="Y8" i="54"/>
  <c r="Y40" i="54"/>
  <c r="B94" i="77" l="1"/>
  <c r="B107" i="77"/>
  <c r="B101" i="77"/>
  <c r="Q94" i="77" l="1"/>
  <c r="P94" i="77"/>
  <c r="P107" i="77"/>
  <c r="Q107" i="77"/>
  <c r="P101" i="77"/>
  <c r="Q101" i="77"/>
  <c r="M214" i="54"/>
  <c r="Z148" i="54"/>
  <c r="M48" i="54"/>
  <c r="N148" i="54"/>
  <c r="Z214" i="54"/>
  <c r="C148" i="54"/>
  <c r="C48" i="54"/>
  <c r="C214" i="54"/>
  <c r="N48" i="54"/>
  <c r="N214" i="54"/>
  <c r="B37" i="77"/>
  <c r="Z48" i="54"/>
  <c r="M148" i="54"/>
  <c r="Z113" i="54"/>
  <c r="Z39" i="54"/>
  <c r="C8" i="54"/>
  <c r="C39" i="54"/>
  <c r="Z8" i="54"/>
  <c r="C139" i="54"/>
  <c r="C113" i="54"/>
  <c r="N39" i="54"/>
  <c r="N139" i="54"/>
  <c r="M39" i="54"/>
  <c r="M139" i="54"/>
  <c r="M113" i="54"/>
  <c r="N8" i="54"/>
  <c r="Z139" i="54"/>
  <c r="N113" i="54"/>
  <c r="M8" i="54"/>
  <c r="B23" i="77"/>
  <c r="B9" i="77"/>
  <c r="C55" i="54"/>
  <c r="C155" i="54"/>
  <c r="C243" i="54"/>
  <c r="Z55" i="54"/>
  <c r="Z243" i="54"/>
  <c r="N243" i="54"/>
  <c r="N55" i="54"/>
  <c r="M243" i="54"/>
  <c r="N155" i="54"/>
  <c r="Z155" i="54"/>
  <c r="M155" i="54"/>
  <c r="M55" i="54"/>
  <c r="B51" i="77"/>
  <c r="R8" i="54" l="1"/>
  <c r="Q8" i="54"/>
  <c r="R55" i="54"/>
  <c r="Q55" i="54"/>
  <c r="R139" i="54"/>
  <c r="Q139" i="54"/>
  <c r="O139" i="54"/>
  <c r="Y146" i="54"/>
  <c r="P139" i="54"/>
  <c r="Q37" i="77"/>
  <c r="P37" i="77"/>
  <c r="O39" i="54"/>
  <c r="Y46" i="54"/>
  <c r="P39" i="54"/>
  <c r="O155" i="54"/>
  <c r="P155" i="54"/>
  <c r="Y194" i="54"/>
  <c r="Y94" i="54"/>
  <c r="O55" i="54"/>
  <c r="P55" i="54"/>
  <c r="P8" i="54"/>
  <c r="Y17" i="54"/>
  <c r="O8" i="54"/>
  <c r="O214" i="54"/>
  <c r="Y223" i="54"/>
  <c r="P214" i="54"/>
  <c r="Q155" i="54"/>
  <c r="R155" i="54"/>
  <c r="Q9" i="77"/>
  <c r="P9" i="77"/>
  <c r="Q39" i="54"/>
  <c r="R39" i="54"/>
  <c r="Y73" i="54"/>
  <c r="O48" i="54"/>
  <c r="P48" i="54"/>
  <c r="O243" i="54"/>
  <c r="P243" i="54"/>
  <c r="Y246" i="54"/>
  <c r="R148" i="54"/>
  <c r="Q148" i="54"/>
  <c r="P23" i="77"/>
  <c r="Q23" i="77"/>
  <c r="R113" i="54"/>
  <c r="Q113" i="54"/>
  <c r="O148" i="54"/>
  <c r="Y173" i="54"/>
  <c r="P148" i="54"/>
  <c r="Q214" i="54"/>
  <c r="R214" i="54"/>
  <c r="P51" i="77"/>
  <c r="Q51" i="77"/>
  <c r="R243" i="54"/>
  <c r="Q243" i="54"/>
  <c r="Y120" i="54"/>
  <c r="O113" i="54"/>
  <c r="P113" i="54"/>
  <c r="Q48" i="54"/>
  <c r="R48" i="54"/>
  <c r="W151" i="54" l="1"/>
  <c r="W217" i="54"/>
  <c r="W51" i="54"/>
  <c r="W50" i="54"/>
  <c r="W216" i="54"/>
  <c r="W150" i="54"/>
  <c r="X58" i="54"/>
  <c r="W10" i="54"/>
  <c r="X158" i="54"/>
  <c r="X246" i="54"/>
  <c r="Y203" i="54"/>
  <c r="W214" i="54"/>
  <c r="W141" i="54"/>
  <c r="W48" i="54"/>
  <c r="Y103" i="54"/>
  <c r="W41" i="54"/>
  <c r="Y255" i="54"/>
  <c r="W115" i="54"/>
  <c r="W148" i="54"/>
  <c r="Y200" i="54"/>
  <c r="W8" i="54"/>
  <c r="X47" i="54"/>
  <c r="X147" i="54"/>
  <c r="X213" i="54"/>
  <c r="Y100" i="54"/>
  <c r="Y252" i="54"/>
  <c r="X7" i="54"/>
  <c r="X146" i="54"/>
  <c r="X46" i="54"/>
  <c r="X212" i="54"/>
  <c r="W139" i="54"/>
  <c r="W113" i="54"/>
  <c r="W39" i="54"/>
  <c r="X211" i="54"/>
  <c r="X112" i="54"/>
  <c r="X145" i="54"/>
  <c r="X45" i="54"/>
  <c r="X138" i="54"/>
  <c r="X38" i="54"/>
  <c r="X110" i="54"/>
  <c r="X36" i="54"/>
  <c r="X136" i="54"/>
  <c r="X4" i="54"/>
  <c r="B108" i="77" l="1"/>
  <c r="B95" i="77"/>
  <c r="B102" i="77"/>
  <c r="P108" i="77" l="1"/>
  <c r="Q108" i="77"/>
  <c r="Q102" i="77"/>
  <c r="P102" i="77"/>
  <c r="P95" i="77"/>
  <c r="Q95" i="77"/>
  <c r="N40" i="54"/>
  <c r="N140" i="54"/>
  <c r="M114" i="54"/>
  <c r="B10" i="77"/>
  <c r="Q10" i="77" s="1"/>
  <c r="C140" i="54"/>
  <c r="M140" i="54"/>
  <c r="Z9" i="54"/>
  <c r="Q9" i="54" s="1"/>
  <c r="N114" i="54"/>
  <c r="Z114" i="54"/>
  <c r="Q114" i="54" s="1"/>
  <c r="M9" i="54"/>
  <c r="B24" i="77"/>
  <c r="P24" i="77" s="1"/>
  <c r="M40" i="54"/>
  <c r="N9" i="54"/>
  <c r="C40" i="54"/>
  <c r="W40" i="54" s="1"/>
  <c r="C9" i="54"/>
  <c r="C114" i="54"/>
  <c r="P114" i="54" s="1"/>
  <c r="Z40" i="54"/>
  <c r="Q40" i="54" s="1"/>
  <c r="Z140" i="54"/>
  <c r="R140" i="54" s="1"/>
  <c r="N149" i="54"/>
  <c r="M215" i="54"/>
  <c r="Z49" i="54"/>
  <c r="N215" i="54"/>
  <c r="N49" i="54"/>
  <c r="M149" i="54"/>
  <c r="Z149" i="54"/>
  <c r="M49" i="54"/>
  <c r="Z215" i="54"/>
  <c r="C49" i="54"/>
  <c r="C215" i="54"/>
  <c r="C149" i="54"/>
  <c r="B38" i="77"/>
  <c r="M244" i="54"/>
  <c r="M156" i="54"/>
  <c r="N244" i="54"/>
  <c r="Z56" i="54"/>
  <c r="Z156" i="54"/>
  <c r="N156" i="54"/>
  <c r="M56" i="54"/>
  <c r="N56" i="54"/>
  <c r="Z244" i="54"/>
  <c r="C56" i="54"/>
  <c r="C156" i="54"/>
  <c r="C244" i="54"/>
  <c r="B52" i="77"/>
  <c r="P140" i="54" l="1"/>
  <c r="O140" i="54"/>
  <c r="W140" i="54"/>
  <c r="O40" i="54"/>
  <c r="R40" i="54"/>
  <c r="P40" i="54"/>
  <c r="Q140" i="54"/>
  <c r="P9" i="54"/>
  <c r="R9" i="54"/>
  <c r="W9" i="54"/>
  <c r="Q24" i="77"/>
  <c r="P10" i="77"/>
  <c r="O9" i="54"/>
  <c r="R114" i="54"/>
  <c r="W114" i="54"/>
  <c r="O114" i="54"/>
  <c r="O149" i="54"/>
  <c r="P149" i="54"/>
  <c r="W149" i="54"/>
  <c r="Q52" i="77"/>
  <c r="P52" i="77"/>
  <c r="Q156" i="54"/>
  <c r="R156" i="54"/>
  <c r="P215" i="54"/>
  <c r="O215" i="54"/>
  <c r="W215" i="54"/>
  <c r="Q49" i="54"/>
  <c r="R49" i="54"/>
  <c r="O244" i="54"/>
  <c r="P244" i="54"/>
  <c r="Q56" i="54"/>
  <c r="R56" i="54"/>
  <c r="O49" i="54"/>
  <c r="P49" i="54"/>
  <c r="W49" i="54"/>
  <c r="R215" i="54"/>
  <c r="Q215" i="54"/>
  <c r="P56" i="54"/>
  <c r="O56" i="54"/>
  <c r="Q244" i="54"/>
  <c r="R244" i="54"/>
  <c r="Q149" i="54"/>
  <c r="R149" i="54"/>
  <c r="P156" i="54"/>
  <c r="O156" i="54"/>
  <c r="P38" i="77"/>
  <c r="Q38" i="77"/>
  <c r="B92" i="77" l="1"/>
  <c r="N135" i="54"/>
  <c r="M35" i="54"/>
  <c r="N3" i="54"/>
  <c r="M109" i="54"/>
  <c r="N109" i="54"/>
  <c r="Z35" i="54"/>
  <c r="Z135" i="54"/>
  <c r="Z3" i="54"/>
  <c r="M3" i="54"/>
  <c r="M135" i="54"/>
  <c r="N35" i="54"/>
  <c r="Z109" i="54"/>
  <c r="C109" i="54"/>
  <c r="B2" i="77"/>
  <c r="C35" i="54"/>
  <c r="C3" i="54"/>
  <c r="C135" i="54"/>
  <c r="B16" i="77"/>
  <c r="B98" i="77" l="1"/>
  <c r="D98" i="77" s="1"/>
  <c r="D92" i="77"/>
  <c r="C93" i="77"/>
  <c r="P35" i="54"/>
  <c r="O35" i="54"/>
  <c r="D35" i="54"/>
  <c r="D2" i="77"/>
  <c r="C3" i="77"/>
  <c r="Q135" i="54"/>
  <c r="R135" i="54"/>
  <c r="P109" i="54"/>
  <c r="O109" i="54"/>
  <c r="D109" i="54"/>
  <c r="Q35" i="54"/>
  <c r="R35" i="54"/>
  <c r="R109" i="54"/>
  <c r="Q109" i="54"/>
  <c r="P135" i="54"/>
  <c r="O135" i="54"/>
  <c r="D135" i="54"/>
  <c r="D16" i="77"/>
  <c r="C17" i="77"/>
  <c r="O3" i="54"/>
  <c r="P3" i="54"/>
  <c r="D3" i="54"/>
  <c r="M143" i="54"/>
  <c r="M209" i="54"/>
  <c r="N13" i="54"/>
  <c r="M13" i="54"/>
  <c r="Z43" i="54"/>
  <c r="B14" i="77"/>
  <c r="D14" i="77" s="1"/>
  <c r="M43" i="54"/>
  <c r="C117" i="54"/>
  <c r="N117" i="54"/>
  <c r="N209" i="54"/>
  <c r="Z143" i="54"/>
  <c r="C13" i="54"/>
  <c r="M117" i="54"/>
  <c r="N143" i="54"/>
  <c r="B28" i="77"/>
  <c r="D28" i="77" s="1"/>
  <c r="Z117" i="54"/>
  <c r="Z13" i="54"/>
  <c r="N43" i="54"/>
  <c r="Z209" i="54"/>
  <c r="C143" i="54"/>
  <c r="B30" i="77"/>
  <c r="C209" i="54"/>
  <c r="C43" i="54"/>
  <c r="Q3" i="54"/>
  <c r="R3" i="54"/>
  <c r="O93" i="77" l="1"/>
  <c r="C94" i="77"/>
  <c r="E93" i="77" s="1"/>
  <c r="H93" i="77"/>
  <c r="G93" i="77"/>
  <c r="B105" i="77"/>
  <c r="D105" i="77" s="1"/>
  <c r="F98" i="77"/>
  <c r="P98" i="77"/>
  <c r="Q98" i="77"/>
  <c r="I98" i="77"/>
  <c r="H98" i="77"/>
  <c r="G98" i="77"/>
  <c r="O98" i="77"/>
  <c r="C99" i="77"/>
  <c r="E98" i="77"/>
  <c r="Y132" i="54"/>
  <c r="D117" i="54"/>
  <c r="O117" i="54"/>
  <c r="P117" i="54"/>
  <c r="D30" i="77"/>
  <c r="C31" i="77"/>
  <c r="Y4" i="54"/>
  <c r="F4" i="54"/>
  <c r="L3" i="54"/>
  <c r="Y3" i="54"/>
  <c r="E4" i="54"/>
  <c r="G4" i="54"/>
  <c r="D4" i="54"/>
  <c r="K3" i="54"/>
  <c r="O3" i="77"/>
  <c r="H3" i="77"/>
  <c r="G3" i="77"/>
  <c r="C4" i="77"/>
  <c r="E3" i="77" s="1"/>
  <c r="Q43" i="54"/>
  <c r="R43" i="54"/>
  <c r="Y158" i="54"/>
  <c r="O143" i="54"/>
  <c r="P143" i="54"/>
  <c r="D143" i="54"/>
  <c r="N219" i="54"/>
  <c r="Z53" i="54"/>
  <c r="Z219" i="54"/>
  <c r="M153" i="54"/>
  <c r="N241" i="54"/>
  <c r="B42" i="77"/>
  <c r="D42" i="77" s="1"/>
  <c r="M53" i="54"/>
  <c r="Z241" i="54"/>
  <c r="N153" i="54"/>
  <c r="M241" i="54"/>
  <c r="C153" i="54"/>
  <c r="N53" i="54"/>
  <c r="Z153" i="54"/>
  <c r="C219" i="54"/>
  <c r="M219" i="54"/>
  <c r="C53" i="54"/>
  <c r="C241" i="54"/>
  <c r="B44" i="77"/>
  <c r="R13" i="54"/>
  <c r="Q13" i="54"/>
  <c r="O13" i="54"/>
  <c r="P13" i="54"/>
  <c r="Y32" i="54"/>
  <c r="D13" i="54"/>
  <c r="G17" i="77"/>
  <c r="H17" i="77"/>
  <c r="O17" i="77"/>
  <c r="C18" i="77"/>
  <c r="F36" i="54"/>
  <c r="G36" i="54"/>
  <c r="E36" i="54"/>
  <c r="Y35" i="54"/>
  <c r="Y36" i="54"/>
  <c r="L35" i="54"/>
  <c r="D36" i="54"/>
  <c r="K35" i="54"/>
  <c r="Q209" i="54"/>
  <c r="R209" i="54"/>
  <c r="P43" i="54"/>
  <c r="O43" i="54"/>
  <c r="Y58" i="54"/>
  <c r="D43" i="54"/>
  <c r="R117" i="54"/>
  <c r="Q117" i="54"/>
  <c r="R143" i="54"/>
  <c r="Q143" i="54"/>
  <c r="Y109" i="54"/>
  <c r="G110" i="54"/>
  <c r="F110" i="54"/>
  <c r="Y110" i="54"/>
  <c r="L109" i="54"/>
  <c r="E110" i="54"/>
  <c r="D110" i="54"/>
  <c r="K109" i="54"/>
  <c r="O209" i="54"/>
  <c r="P209" i="54"/>
  <c r="D209" i="54"/>
  <c r="L135" i="54"/>
  <c r="G136" i="54"/>
  <c r="Y135" i="54"/>
  <c r="F136" i="54"/>
  <c r="E136" i="54"/>
  <c r="Y136" i="54"/>
  <c r="D136" i="54"/>
  <c r="K135" i="54"/>
  <c r="J98" i="77" l="1"/>
  <c r="B109" i="77"/>
  <c r="D109" i="77" s="1"/>
  <c r="I105" i="77"/>
  <c r="H105" i="77"/>
  <c r="O105" i="77"/>
  <c r="Q105" i="77"/>
  <c r="E105" i="77"/>
  <c r="P105" i="77"/>
  <c r="C106" i="77"/>
  <c r="F105" i="77"/>
  <c r="G105" i="77"/>
  <c r="C95" i="77"/>
  <c r="H94" i="77" s="1"/>
  <c r="O94" i="77"/>
  <c r="I93" i="77"/>
  <c r="F93" i="77"/>
  <c r="G94" i="77"/>
  <c r="K98" i="77"/>
  <c r="O99" i="77"/>
  <c r="C100" i="77"/>
  <c r="H99" i="77"/>
  <c r="G99" i="77"/>
  <c r="H36" i="54"/>
  <c r="I36" i="54" s="1"/>
  <c r="L13" i="54"/>
  <c r="K13" i="54"/>
  <c r="O53" i="54"/>
  <c r="P53" i="54"/>
  <c r="Y88" i="54"/>
  <c r="D53" i="54"/>
  <c r="Y112" i="54"/>
  <c r="W110" i="54"/>
  <c r="E111" i="54"/>
  <c r="F111" i="54"/>
  <c r="Y113" i="54"/>
  <c r="G111" i="54"/>
  <c r="D111" i="54"/>
  <c r="O18" i="77"/>
  <c r="H18" i="77"/>
  <c r="F17" i="77"/>
  <c r="I17" i="77"/>
  <c r="G18" i="77"/>
  <c r="C19" i="77"/>
  <c r="H31" i="77"/>
  <c r="O31" i="77"/>
  <c r="G31" i="77"/>
  <c r="C32" i="77"/>
  <c r="E31" i="77" s="1"/>
  <c r="H136" i="54"/>
  <c r="Y39" i="54"/>
  <c r="F37" i="54"/>
  <c r="G37" i="54"/>
  <c r="E37" i="54"/>
  <c r="Y38" i="54"/>
  <c r="W36" i="54"/>
  <c r="D37" i="54"/>
  <c r="P219" i="54"/>
  <c r="Y238" i="54"/>
  <c r="O219" i="54"/>
  <c r="D219" i="54"/>
  <c r="Q219" i="54"/>
  <c r="R219" i="54"/>
  <c r="F5" i="54"/>
  <c r="Y7" i="54"/>
  <c r="E5" i="54"/>
  <c r="Y6" i="54"/>
  <c r="W4" i="54"/>
  <c r="G5" i="54"/>
  <c r="D5" i="54"/>
  <c r="Y60" i="54"/>
  <c r="E44" i="54"/>
  <c r="L43" i="54"/>
  <c r="F44" i="54"/>
  <c r="G44" i="54"/>
  <c r="Y59" i="54"/>
  <c r="D44" i="54"/>
  <c r="X44" i="54" s="1"/>
  <c r="K43" i="54"/>
  <c r="R153" i="54"/>
  <c r="Q153" i="54"/>
  <c r="N247" i="54"/>
  <c r="C247" i="54"/>
  <c r="M247" i="54"/>
  <c r="Z59" i="54"/>
  <c r="M59" i="54"/>
  <c r="C59" i="54"/>
  <c r="N59" i="54"/>
  <c r="Z159" i="54"/>
  <c r="M159" i="54"/>
  <c r="C159" i="54"/>
  <c r="B56" i="77"/>
  <c r="D56" i="77" s="1"/>
  <c r="Z247" i="54"/>
  <c r="N159" i="54"/>
  <c r="R53" i="54"/>
  <c r="Q53" i="54"/>
  <c r="G4" i="77"/>
  <c r="I3" i="77"/>
  <c r="F3" i="77"/>
  <c r="H4" i="77"/>
  <c r="O4" i="77"/>
  <c r="C5" i="77"/>
  <c r="H4" i="54"/>
  <c r="O241" i="54"/>
  <c r="P241" i="54"/>
  <c r="D241" i="54"/>
  <c r="G210" i="54"/>
  <c r="E210" i="54"/>
  <c r="Y209" i="54"/>
  <c r="L209" i="54"/>
  <c r="F210" i="54"/>
  <c r="Y210" i="54"/>
  <c r="D210" i="54"/>
  <c r="X210" i="54" s="1"/>
  <c r="K209" i="54"/>
  <c r="E137" i="54"/>
  <c r="G137" i="54"/>
  <c r="Y139" i="54"/>
  <c r="W136" i="54"/>
  <c r="Y138" i="54"/>
  <c r="F137" i="54"/>
  <c r="D137" i="54"/>
  <c r="E17" i="77"/>
  <c r="R241" i="54"/>
  <c r="Q241" i="54"/>
  <c r="G144" i="54"/>
  <c r="Y160" i="54"/>
  <c r="E144" i="54"/>
  <c r="L143" i="54"/>
  <c r="Y159" i="54"/>
  <c r="F144" i="54"/>
  <c r="D144" i="54"/>
  <c r="X144" i="54" s="1"/>
  <c r="K143" i="54"/>
  <c r="L117" i="54"/>
  <c r="K117" i="54"/>
  <c r="H110" i="54"/>
  <c r="D44" i="77"/>
  <c r="C45" i="77"/>
  <c r="O153" i="54"/>
  <c r="Y188" i="54"/>
  <c r="D153" i="54"/>
  <c r="P153" i="54"/>
  <c r="J105" i="77" l="1"/>
  <c r="K105" i="77"/>
  <c r="E99" i="77"/>
  <c r="O100" i="77"/>
  <c r="C101" i="77"/>
  <c r="E100" i="77" s="1"/>
  <c r="H100" i="77"/>
  <c r="G100" i="77"/>
  <c r="F99" i="77"/>
  <c r="I99" i="77"/>
  <c r="C96" i="77"/>
  <c r="E95" i="77" s="1"/>
  <c r="O95" i="77"/>
  <c r="I94" i="77"/>
  <c r="F94" i="77"/>
  <c r="G95" i="77"/>
  <c r="J93" i="77"/>
  <c r="K93" i="77"/>
  <c r="E94" i="77"/>
  <c r="C107" i="77"/>
  <c r="H106" i="77" s="1"/>
  <c r="O106" i="77"/>
  <c r="G106" i="77"/>
  <c r="J36" i="54"/>
  <c r="J17" i="77"/>
  <c r="H5" i="54"/>
  <c r="I5" i="54" s="1"/>
  <c r="H137" i="54"/>
  <c r="I137" i="54" s="1"/>
  <c r="K17" i="77"/>
  <c r="H37" i="54"/>
  <c r="I37" i="54" s="1"/>
  <c r="H144" i="54"/>
  <c r="I144" i="54" s="1"/>
  <c r="H44" i="54"/>
  <c r="I44" i="54" s="1"/>
  <c r="J4" i="54"/>
  <c r="I4" i="54"/>
  <c r="Q59" i="54"/>
  <c r="R59" i="54"/>
  <c r="L219" i="54"/>
  <c r="K219" i="54"/>
  <c r="E154" i="54"/>
  <c r="Y189" i="54"/>
  <c r="F154" i="54"/>
  <c r="L153" i="54"/>
  <c r="Y190" i="54"/>
  <c r="G154" i="54"/>
  <c r="D154" i="54"/>
  <c r="X154" i="54" s="1"/>
  <c r="K153" i="54"/>
  <c r="F4" i="77"/>
  <c r="O5" i="77"/>
  <c r="G5" i="77"/>
  <c r="I4" i="77"/>
  <c r="C6" i="77"/>
  <c r="H5" i="77" s="1"/>
  <c r="P159" i="54"/>
  <c r="O159" i="54"/>
  <c r="Y206" i="54"/>
  <c r="D159" i="54"/>
  <c r="O247" i="54"/>
  <c r="D247" i="54"/>
  <c r="Y258" i="54"/>
  <c r="P247" i="54"/>
  <c r="L53" i="54"/>
  <c r="E54" i="54"/>
  <c r="F54" i="54"/>
  <c r="G54" i="54"/>
  <c r="Y90" i="54"/>
  <c r="Y89" i="54"/>
  <c r="D54" i="54"/>
  <c r="X54" i="54" s="1"/>
  <c r="K53" i="54"/>
  <c r="E4" i="77"/>
  <c r="I136" i="54"/>
  <c r="J136" i="54"/>
  <c r="Y116" i="54"/>
  <c r="Y115" i="54"/>
  <c r="W111" i="54"/>
  <c r="E112" i="54"/>
  <c r="G112" i="54"/>
  <c r="F112" i="54"/>
  <c r="D112" i="54"/>
  <c r="G45" i="77"/>
  <c r="O45" i="77"/>
  <c r="C46" i="77"/>
  <c r="H45" i="77" s="1"/>
  <c r="E145" i="54"/>
  <c r="G145" i="54"/>
  <c r="Y163" i="54"/>
  <c r="W144" i="54"/>
  <c r="Y162" i="54"/>
  <c r="F145" i="54"/>
  <c r="D145" i="54"/>
  <c r="H210" i="54"/>
  <c r="Q159" i="54"/>
  <c r="R159" i="54"/>
  <c r="W37" i="54"/>
  <c r="F38" i="54"/>
  <c r="Y42" i="54"/>
  <c r="E38" i="54"/>
  <c r="G38" i="54"/>
  <c r="Y41" i="54"/>
  <c r="D38" i="54"/>
  <c r="U36" i="54"/>
  <c r="T36" i="54"/>
  <c r="V36" i="54"/>
  <c r="S36" i="54"/>
  <c r="G19" i="77"/>
  <c r="F18" i="77"/>
  <c r="O19" i="77"/>
  <c r="I18" i="77"/>
  <c r="C20" i="77"/>
  <c r="H19" i="77" s="1"/>
  <c r="H111" i="54"/>
  <c r="E242" i="54"/>
  <c r="F242" i="54"/>
  <c r="Y241" i="54"/>
  <c r="G242" i="54"/>
  <c r="Y242" i="54"/>
  <c r="L241" i="54"/>
  <c r="D242" i="54"/>
  <c r="X242" i="54" s="1"/>
  <c r="K241" i="54"/>
  <c r="K3" i="77"/>
  <c r="Q247" i="54"/>
  <c r="R247" i="54"/>
  <c r="E18" i="77"/>
  <c r="F138" i="54"/>
  <c r="Y141" i="54"/>
  <c r="Y142" i="54"/>
  <c r="E138" i="54"/>
  <c r="W137" i="54"/>
  <c r="G138" i="54"/>
  <c r="D138" i="54"/>
  <c r="Y106" i="54"/>
  <c r="D59" i="54"/>
  <c r="P59" i="54"/>
  <c r="O59" i="54"/>
  <c r="J3" i="77"/>
  <c r="H32" i="77"/>
  <c r="F31" i="77"/>
  <c r="O32" i="77"/>
  <c r="I31" i="77"/>
  <c r="G32" i="77"/>
  <c r="C33" i="77"/>
  <c r="E32" i="77" s="1"/>
  <c r="G211" i="54"/>
  <c r="E211" i="54"/>
  <c r="W210" i="54"/>
  <c r="Y212" i="54"/>
  <c r="F211" i="54"/>
  <c r="Y213" i="54"/>
  <c r="D211" i="54"/>
  <c r="J110" i="54"/>
  <c r="I110" i="54"/>
  <c r="E45" i="54"/>
  <c r="G45" i="54"/>
  <c r="Y63" i="54"/>
  <c r="F45" i="54"/>
  <c r="Y62" i="54"/>
  <c r="W44" i="54"/>
  <c r="D45" i="54"/>
  <c r="W5" i="54"/>
  <c r="F6" i="54"/>
  <c r="G6" i="54"/>
  <c r="H6" i="54" s="1"/>
  <c r="Y9" i="54"/>
  <c r="E6" i="54"/>
  <c r="Y10" i="54"/>
  <c r="D6" i="54"/>
  <c r="H95" i="77" l="1"/>
  <c r="J37" i="54"/>
  <c r="K94" i="77"/>
  <c r="J94" i="77"/>
  <c r="K99" i="77"/>
  <c r="E106" i="77"/>
  <c r="O107" i="77"/>
  <c r="C108" i="77"/>
  <c r="H107" i="77" s="1"/>
  <c r="I106" i="77"/>
  <c r="F106" i="77"/>
  <c r="G107" i="77"/>
  <c r="O101" i="77"/>
  <c r="C102" i="77"/>
  <c r="E101" i="77" s="1"/>
  <c r="F100" i="77"/>
  <c r="I100" i="77"/>
  <c r="G101" i="77"/>
  <c r="O96" i="77"/>
  <c r="C97" i="77"/>
  <c r="H96" i="77" s="1"/>
  <c r="G96" i="77"/>
  <c r="I95" i="77"/>
  <c r="F95" i="77"/>
  <c r="J99" i="77"/>
  <c r="J137" i="54"/>
  <c r="J5" i="54"/>
  <c r="J144" i="54"/>
  <c r="E5" i="77"/>
  <c r="J44" i="54"/>
  <c r="K18" i="77"/>
  <c r="K31" i="77"/>
  <c r="H138" i="54"/>
  <c r="I138" i="54" s="1"/>
  <c r="J4" i="77"/>
  <c r="E19" i="77"/>
  <c r="H38" i="54"/>
  <c r="I38" i="54" s="1"/>
  <c r="J18" i="77"/>
  <c r="H242" i="54"/>
  <c r="I242" i="54" s="1"/>
  <c r="F139" i="54"/>
  <c r="W138" i="54"/>
  <c r="E139" i="54"/>
  <c r="Y145" i="54"/>
  <c r="Y144" i="54"/>
  <c r="G139" i="54"/>
  <c r="D139" i="54"/>
  <c r="I210" i="54"/>
  <c r="J210" i="54"/>
  <c r="I45" i="77"/>
  <c r="F45" i="77"/>
  <c r="O46" i="77"/>
  <c r="G46" i="77"/>
  <c r="C47" i="77"/>
  <c r="H46" i="77" s="1"/>
  <c r="H112" i="54"/>
  <c r="H45" i="54"/>
  <c r="E146" i="54"/>
  <c r="Y166" i="54"/>
  <c r="W145" i="54"/>
  <c r="G146" i="54"/>
  <c r="Y165" i="54"/>
  <c r="F146" i="54"/>
  <c r="D146" i="54"/>
  <c r="E45" i="77"/>
  <c r="T137" i="54"/>
  <c r="U137" i="54"/>
  <c r="V137" i="54"/>
  <c r="S137" i="54"/>
  <c r="T44" i="54"/>
  <c r="V44" i="54"/>
  <c r="S44" i="54"/>
  <c r="U44" i="54"/>
  <c r="J6" i="54"/>
  <c r="I6" i="54"/>
  <c r="L159" i="54"/>
  <c r="K159" i="54"/>
  <c r="S5" i="54"/>
  <c r="U5" i="54"/>
  <c r="V5" i="54"/>
  <c r="T5" i="54"/>
  <c r="H211" i="54"/>
  <c r="J111" i="54"/>
  <c r="I111" i="54"/>
  <c r="Y92" i="54"/>
  <c r="G55" i="54"/>
  <c r="F55" i="54"/>
  <c r="Y93" i="54"/>
  <c r="E55" i="54"/>
  <c r="W54" i="54"/>
  <c r="D55" i="54"/>
  <c r="W55" i="54" s="1"/>
  <c r="T110" i="54"/>
  <c r="S110" i="54"/>
  <c r="U110" i="54"/>
  <c r="V110" i="54"/>
  <c r="F46" i="54"/>
  <c r="W45" i="54"/>
  <c r="Y65" i="54"/>
  <c r="Y66" i="54"/>
  <c r="G46" i="54"/>
  <c r="E46" i="54"/>
  <c r="D46" i="54"/>
  <c r="H33" i="77"/>
  <c r="O33" i="77"/>
  <c r="I32" i="77"/>
  <c r="F32" i="77"/>
  <c r="C34" i="77"/>
  <c r="G33" i="77" s="1"/>
  <c r="E243" i="54"/>
  <c r="Y244" i="54"/>
  <c r="W242" i="54"/>
  <c r="G243" i="54"/>
  <c r="Y245" i="54"/>
  <c r="F243" i="54"/>
  <c r="D243" i="54"/>
  <c r="W243" i="54" s="1"/>
  <c r="H20" i="77"/>
  <c r="I19" i="77"/>
  <c r="O20" i="77"/>
  <c r="G20" i="77"/>
  <c r="F19" i="77"/>
  <c r="C21" i="77"/>
  <c r="L247" i="54"/>
  <c r="K247" i="54"/>
  <c r="K4" i="77"/>
  <c r="E212" i="54"/>
  <c r="F212" i="54"/>
  <c r="G212" i="54"/>
  <c r="Y215" i="54"/>
  <c r="Y216" i="54"/>
  <c r="W211" i="54"/>
  <c r="D212" i="54"/>
  <c r="S37" i="54"/>
  <c r="U37" i="54"/>
  <c r="T37" i="54"/>
  <c r="V37" i="54"/>
  <c r="T4" i="54"/>
  <c r="U4" i="54"/>
  <c r="S4" i="54"/>
  <c r="V4" i="54"/>
  <c r="Y12" i="54"/>
  <c r="F7" i="54"/>
  <c r="E7" i="54"/>
  <c r="Y13" i="54"/>
  <c r="G7" i="54"/>
  <c r="H7" i="54" s="1"/>
  <c r="D7" i="54"/>
  <c r="L59" i="54"/>
  <c r="K59" i="54"/>
  <c r="H145" i="54"/>
  <c r="W112" i="54"/>
  <c r="F113" i="54"/>
  <c r="Y119" i="54"/>
  <c r="Y118" i="54"/>
  <c r="G113" i="54"/>
  <c r="E113" i="54"/>
  <c r="D113" i="54"/>
  <c r="U136" i="54"/>
  <c r="S136" i="54"/>
  <c r="V136" i="54"/>
  <c r="T136" i="54"/>
  <c r="H54" i="54"/>
  <c r="O6" i="77"/>
  <c r="G6" i="77"/>
  <c r="F5" i="77"/>
  <c r="H6" i="77"/>
  <c r="I5" i="77"/>
  <c r="C7" i="77"/>
  <c r="E6" i="77" s="1"/>
  <c r="W154" i="54"/>
  <c r="D155" i="54"/>
  <c r="W155" i="54" s="1"/>
  <c r="Y193" i="54"/>
  <c r="Y192" i="54"/>
  <c r="G155" i="54"/>
  <c r="E155" i="54"/>
  <c r="F155" i="54"/>
  <c r="Y44" i="54"/>
  <c r="F39" i="54"/>
  <c r="G39" i="54"/>
  <c r="E39" i="54"/>
  <c r="Y45" i="54"/>
  <c r="W38" i="54"/>
  <c r="D39" i="54"/>
  <c r="V144" i="54"/>
  <c r="S144" i="54"/>
  <c r="U144" i="54" s="1"/>
  <c r="T144" i="54"/>
  <c r="H154" i="54"/>
  <c r="J31" i="77"/>
  <c r="H101" i="77" l="1"/>
  <c r="E107" i="77"/>
  <c r="K106" i="77"/>
  <c r="K100" i="77"/>
  <c r="O97" i="77"/>
  <c r="C98" i="77"/>
  <c r="H97" i="77" s="1"/>
  <c r="F96" i="77"/>
  <c r="I96" i="77"/>
  <c r="G97" i="77"/>
  <c r="E96" i="77"/>
  <c r="C103" i="77"/>
  <c r="E102" i="77" s="1"/>
  <c r="O102" i="77"/>
  <c r="F101" i="77"/>
  <c r="I101" i="77"/>
  <c r="G102" i="77"/>
  <c r="O108" i="77"/>
  <c r="C109" i="77"/>
  <c r="E108" i="77" s="1"/>
  <c r="F107" i="77"/>
  <c r="I107" i="77"/>
  <c r="G108" i="77"/>
  <c r="J100" i="77"/>
  <c r="J106" i="77"/>
  <c r="K95" i="77"/>
  <c r="J95" i="77"/>
  <c r="J138" i="54"/>
  <c r="J38" i="54"/>
  <c r="J242" i="54"/>
  <c r="E46" i="77"/>
  <c r="J19" i="77"/>
  <c r="H139" i="54"/>
  <c r="J139" i="54" s="1"/>
  <c r="J45" i="77"/>
  <c r="J5" i="77"/>
  <c r="H39" i="54"/>
  <c r="I39" i="54" s="1"/>
  <c r="H46" i="54"/>
  <c r="J46" i="54" s="1"/>
  <c r="K32" i="77"/>
  <c r="X113" i="54"/>
  <c r="E114" i="54"/>
  <c r="Y122" i="54"/>
  <c r="Y123" i="54" s="1"/>
  <c r="F114" i="54"/>
  <c r="Y121" i="54"/>
  <c r="G114" i="54"/>
  <c r="D114" i="54"/>
  <c r="E213" i="54"/>
  <c r="F213" i="54"/>
  <c r="Y218" i="54"/>
  <c r="Y219" i="54"/>
  <c r="G213" i="54"/>
  <c r="W212" i="54"/>
  <c r="D213" i="54"/>
  <c r="E20" i="77"/>
  <c r="J211" i="54"/>
  <c r="I211" i="54"/>
  <c r="Y148" i="54"/>
  <c r="Y149" i="54" s="1"/>
  <c r="E140" i="54"/>
  <c r="X139" i="54"/>
  <c r="G140" i="54"/>
  <c r="F140" i="54"/>
  <c r="Y147" i="54"/>
  <c r="D140" i="54"/>
  <c r="H113" i="54"/>
  <c r="G8" i="54"/>
  <c r="H8" i="54" s="1"/>
  <c r="W7" i="54"/>
  <c r="E8" i="54"/>
  <c r="Y16" i="54"/>
  <c r="F8" i="54"/>
  <c r="Y15" i="54"/>
  <c r="D8" i="54"/>
  <c r="W46" i="54"/>
  <c r="F47" i="54"/>
  <c r="G47" i="54"/>
  <c r="E47" i="54"/>
  <c r="Y68" i="54"/>
  <c r="Y69" i="54"/>
  <c r="D47" i="54"/>
  <c r="Y168" i="54"/>
  <c r="F147" i="54"/>
  <c r="Y169" i="54"/>
  <c r="W146" i="54"/>
  <c r="G147" i="54"/>
  <c r="E147" i="54"/>
  <c r="D147" i="54"/>
  <c r="U38" i="54"/>
  <c r="T38" i="54"/>
  <c r="V38" i="54"/>
  <c r="S38" i="54"/>
  <c r="Y195" i="54"/>
  <c r="D156" i="54"/>
  <c r="W156" i="54" s="1"/>
  <c r="F156" i="54"/>
  <c r="G156" i="54"/>
  <c r="E156" i="54"/>
  <c r="X155" i="54"/>
  <c r="Y196" i="54"/>
  <c r="Y197" i="54" s="1"/>
  <c r="J54" i="54"/>
  <c r="I54" i="54"/>
  <c r="J7" i="54"/>
  <c r="I7" i="54"/>
  <c r="H34" i="77"/>
  <c r="F33" i="77"/>
  <c r="I33" i="77"/>
  <c r="G34" i="77"/>
  <c r="O34" i="77"/>
  <c r="C35" i="77"/>
  <c r="E34" i="77" s="1"/>
  <c r="H7" i="77"/>
  <c r="F6" i="77"/>
  <c r="G7" i="77"/>
  <c r="O7" i="77"/>
  <c r="I6" i="77"/>
  <c r="C8" i="77"/>
  <c r="E7" i="77" s="1"/>
  <c r="H212" i="54"/>
  <c r="E244" i="54"/>
  <c r="Y247" i="54"/>
  <c r="X243" i="54"/>
  <c r="G244" i="54"/>
  <c r="F244" i="54"/>
  <c r="Y248" i="54"/>
  <c r="Y249" i="54" s="1"/>
  <c r="D244" i="54"/>
  <c r="W244" i="54" s="1"/>
  <c r="H55" i="54"/>
  <c r="V138" i="54"/>
  <c r="S138" i="54"/>
  <c r="T138" i="54"/>
  <c r="U138" i="54"/>
  <c r="K45" i="77"/>
  <c r="I20" i="77"/>
  <c r="H21" i="77"/>
  <c r="O21" i="77"/>
  <c r="F20" i="77"/>
  <c r="G21" i="77"/>
  <c r="C22" i="77"/>
  <c r="E21" i="77" s="1"/>
  <c r="V242" i="54"/>
  <c r="S242" i="54"/>
  <c r="U242" i="54" s="1"/>
  <c r="T242" i="54"/>
  <c r="H146" i="54"/>
  <c r="I45" i="54"/>
  <c r="J45" i="54"/>
  <c r="X39" i="54"/>
  <c r="F40" i="54"/>
  <c r="G40" i="54"/>
  <c r="Y47" i="54"/>
  <c r="E40" i="54"/>
  <c r="Y48" i="54"/>
  <c r="Y49" i="54" s="1"/>
  <c r="D40" i="54"/>
  <c r="H155" i="54"/>
  <c r="K19" i="77"/>
  <c r="E33" i="77"/>
  <c r="S111" i="54"/>
  <c r="U111" i="54"/>
  <c r="T111" i="54"/>
  <c r="V111" i="54"/>
  <c r="I112" i="54"/>
  <c r="J112" i="54"/>
  <c r="I154" i="54"/>
  <c r="J154" i="54"/>
  <c r="K5" i="77"/>
  <c r="J145" i="54"/>
  <c r="I145" i="54"/>
  <c r="J32" i="77"/>
  <c r="H243" i="54"/>
  <c r="X55" i="54"/>
  <c r="Y95" i="54"/>
  <c r="Y96" i="54"/>
  <c r="Y97" i="54" s="1"/>
  <c r="G56" i="54"/>
  <c r="E56" i="54"/>
  <c r="F56" i="54"/>
  <c r="D56" i="54"/>
  <c r="W56" i="54" s="1"/>
  <c r="U6" i="54"/>
  <c r="T6" i="54"/>
  <c r="S6" i="54"/>
  <c r="V6" i="54"/>
  <c r="F46" i="77"/>
  <c r="I46" i="77"/>
  <c r="O47" i="77"/>
  <c r="G47" i="77"/>
  <c r="C48" i="77"/>
  <c r="E47" i="77" s="1"/>
  <c r="S210" i="54"/>
  <c r="U210" i="54" s="1"/>
  <c r="T210" i="54"/>
  <c r="V210" i="54"/>
  <c r="H102" i="77" l="1"/>
  <c r="J101" i="77"/>
  <c r="H108" i="77"/>
  <c r="J107" i="77"/>
  <c r="K107" i="77"/>
  <c r="K101" i="77"/>
  <c r="K96" i="77"/>
  <c r="I108" i="77"/>
  <c r="F108" i="77"/>
  <c r="C104" i="77"/>
  <c r="O103" i="77"/>
  <c r="G103" i="77"/>
  <c r="I102" i="77"/>
  <c r="F102" i="77"/>
  <c r="E97" i="77"/>
  <c r="F97" i="77"/>
  <c r="I97" i="77"/>
  <c r="J96" i="77"/>
  <c r="I139" i="54"/>
  <c r="S139" i="54" s="1"/>
  <c r="I46" i="54"/>
  <c r="T46" i="54" s="1"/>
  <c r="J39" i="54"/>
  <c r="H40" i="54"/>
  <c r="I40" i="54" s="1"/>
  <c r="H213" i="54"/>
  <c r="J213" i="54" s="1"/>
  <c r="K20" i="77"/>
  <c r="H140" i="54"/>
  <c r="I140" i="54" s="1"/>
  <c r="H244" i="54"/>
  <c r="J244" i="54" s="1"/>
  <c r="K6" i="77"/>
  <c r="H47" i="77"/>
  <c r="H156" i="54"/>
  <c r="J156" i="54" s="1"/>
  <c r="J33" i="77"/>
  <c r="H147" i="54"/>
  <c r="I147" i="54" s="1"/>
  <c r="H114" i="54"/>
  <c r="J114" i="54" s="1"/>
  <c r="I146" i="54"/>
  <c r="J146" i="54"/>
  <c r="J8" i="54"/>
  <c r="I8" i="54"/>
  <c r="Y222" i="54"/>
  <c r="Y221" i="54"/>
  <c r="E214" i="54"/>
  <c r="F214" i="54"/>
  <c r="W213" i="54"/>
  <c r="G214" i="54"/>
  <c r="D214" i="54"/>
  <c r="V145" i="54"/>
  <c r="T145" i="54"/>
  <c r="U145" i="54"/>
  <c r="S145" i="54"/>
  <c r="J55" i="54"/>
  <c r="I55" i="54"/>
  <c r="K33" i="77"/>
  <c r="I113" i="54"/>
  <c r="J113" i="54"/>
  <c r="Y18" i="54"/>
  <c r="F9" i="54"/>
  <c r="Y19" i="54"/>
  <c r="Y20" i="54" s="1"/>
  <c r="G9" i="54"/>
  <c r="H9" i="54" s="1"/>
  <c r="E9" i="54"/>
  <c r="X8" i="54"/>
  <c r="D9" i="54"/>
  <c r="V39" i="54"/>
  <c r="U39" i="54"/>
  <c r="T39" i="54"/>
  <c r="S39" i="54"/>
  <c r="K46" i="77"/>
  <c r="I212" i="54"/>
  <c r="J212" i="54"/>
  <c r="T7" i="54"/>
  <c r="U7" i="54"/>
  <c r="V7" i="54"/>
  <c r="S7" i="54"/>
  <c r="Y72" i="54"/>
  <c r="W47" i="54"/>
  <c r="F48" i="54"/>
  <c r="Y71" i="54"/>
  <c r="E48" i="54"/>
  <c r="G48" i="54"/>
  <c r="D48" i="54"/>
  <c r="J6" i="77"/>
  <c r="H56" i="54"/>
  <c r="G245" i="54"/>
  <c r="Y250" i="54"/>
  <c r="E245" i="54"/>
  <c r="Y251" i="54"/>
  <c r="F245" i="54"/>
  <c r="D245" i="54"/>
  <c r="W245" i="54" s="1"/>
  <c r="X244" i="54"/>
  <c r="F7" i="77"/>
  <c r="G8" i="77"/>
  <c r="H8" i="77"/>
  <c r="O8" i="77"/>
  <c r="I7" i="77"/>
  <c r="C9" i="77"/>
  <c r="E8" i="77" s="1"/>
  <c r="H35" i="77"/>
  <c r="G35" i="77"/>
  <c r="I34" i="77"/>
  <c r="F34" i="77"/>
  <c r="O35" i="77"/>
  <c r="C36" i="77"/>
  <c r="F157" i="54"/>
  <c r="D157" i="54"/>
  <c r="W157" i="54" s="1"/>
  <c r="Y199" i="54"/>
  <c r="G157" i="54"/>
  <c r="Y198" i="54"/>
  <c r="E157" i="54"/>
  <c r="X156" i="54"/>
  <c r="Y171" i="54"/>
  <c r="W147" i="54"/>
  <c r="Y172" i="54"/>
  <c r="F148" i="54"/>
  <c r="E148" i="54"/>
  <c r="G148" i="54"/>
  <c r="D148" i="54"/>
  <c r="Y151" i="54"/>
  <c r="Y150" i="54"/>
  <c r="F141" i="54"/>
  <c r="E141" i="54"/>
  <c r="G141" i="54"/>
  <c r="D141" i="54"/>
  <c r="X140" i="54"/>
  <c r="J46" i="77"/>
  <c r="Y99" i="54"/>
  <c r="Y98" i="54"/>
  <c r="F57" i="54"/>
  <c r="E57" i="54"/>
  <c r="G57" i="54"/>
  <c r="D57" i="54"/>
  <c r="W57" i="54" s="1"/>
  <c r="X56" i="54"/>
  <c r="I47" i="77"/>
  <c r="O48" i="77"/>
  <c r="F47" i="77"/>
  <c r="C49" i="77"/>
  <c r="H48" i="77" s="1"/>
  <c r="S154" i="54"/>
  <c r="U154" i="54" s="1"/>
  <c r="T154" i="54"/>
  <c r="V154" i="54"/>
  <c r="I21" i="77"/>
  <c r="O22" i="77"/>
  <c r="H22" i="77"/>
  <c r="G22" i="77"/>
  <c r="F21" i="77"/>
  <c r="C23" i="77"/>
  <c r="E22" i="77" s="1"/>
  <c r="T54" i="54"/>
  <c r="U54" i="54"/>
  <c r="V54" i="54"/>
  <c r="S54" i="54"/>
  <c r="V211" i="54"/>
  <c r="S211" i="54"/>
  <c r="U211" i="54"/>
  <c r="T211" i="54"/>
  <c r="I155" i="54"/>
  <c r="J155" i="54"/>
  <c r="J243" i="54"/>
  <c r="I243" i="54"/>
  <c r="V112" i="54"/>
  <c r="T112" i="54"/>
  <c r="S112" i="54"/>
  <c r="U112" i="54"/>
  <c r="F41" i="54"/>
  <c r="Y51" i="54"/>
  <c r="G41" i="54"/>
  <c r="Y50" i="54"/>
  <c r="E41" i="54"/>
  <c r="D41" i="54"/>
  <c r="X40" i="54"/>
  <c r="T45" i="54"/>
  <c r="U45" i="54"/>
  <c r="S45" i="54"/>
  <c r="V45" i="54"/>
  <c r="H47" i="54"/>
  <c r="J20" i="77"/>
  <c r="Y125" i="54"/>
  <c r="Y124" i="54"/>
  <c r="F115" i="54"/>
  <c r="G115" i="54"/>
  <c r="E115" i="54"/>
  <c r="D115" i="54"/>
  <c r="X114" i="54"/>
  <c r="G48" i="77" l="1"/>
  <c r="I156" i="54"/>
  <c r="V156" i="54" s="1"/>
  <c r="J40" i="54"/>
  <c r="I213" i="54"/>
  <c r="T213" i="54" s="1"/>
  <c r="V139" i="54"/>
  <c r="U139" i="54"/>
  <c r="T139" i="54"/>
  <c r="K102" i="77"/>
  <c r="K108" i="77"/>
  <c r="J97" i="77"/>
  <c r="K97" i="77"/>
  <c r="O104" i="77"/>
  <c r="C105" i="77"/>
  <c r="H104" i="77" s="1"/>
  <c r="F103" i="77"/>
  <c r="I103" i="77"/>
  <c r="G104" i="77"/>
  <c r="H103" i="77"/>
  <c r="J108" i="77"/>
  <c r="J102" i="77"/>
  <c r="E103" i="77"/>
  <c r="J140" i="54"/>
  <c r="S46" i="54"/>
  <c r="U46" i="54"/>
  <c r="V46" i="54"/>
  <c r="I244" i="54"/>
  <c r="S244" i="54" s="1"/>
  <c r="J21" i="77"/>
  <c r="H157" i="54"/>
  <c r="I157" i="54" s="1"/>
  <c r="H57" i="54"/>
  <c r="I57" i="54" s="1"/>
  <c r="H141" i="54"/>
  <c r="J141" i="54" s="1"/>
  <c r="H115" i="54"/>
  <c r="J115" i="54" s="1"/>
  <c r="J147" i="54"/>
  <c r="H214" i="54"/>
  <c r="I214" i="54" s="1"/>
  <c r="I114" i="54"/>
  <c r="V114" i="54" s="1"/>
  <c r="H148" i="54"/>
  <c r="J148" i="54" s="1"/>
  <c r="H245" i="54"/>
  <c r="J245" i="54" s="1"/>
  <c r="K34" i="77"/>
  <c r="K7" i="77"/>
  <c r="K47" i="77"/>
  <c r="S212" i="54"/>
  <c r="V212" i="54"/>
  <c r="T212" i="54"/>
  <c r="U212" i="54"/>
  <c r="I47" i="54"/>
  <c r="J47" i="54"/>
  <c r="U147" i="54"/>
  <c r="T147" i="54"/>
  <c r="S147" i="54"/>
  <c r="V147" i="54"/>
  <c r="I48" i="77"/>
  <c r="F48" i="77"/>
  <c r="O49" i="77"/>
  <c r="C50" i="77"/>
  <c r="E49" i="77" s="1"/>
  <c r="Y102" i="54"/>
  <c r="Y101" i="54"/>
  <c r="E58" i="54"/>
  <c r="F58" i="54"/>
  <c r="D58" i="54"/>
  <c r="X57" i="54"/>
  <c r="G58" i="54"/>
  <c r="F142" i="54"/>
  <c r="Y153" i="54"/>
  <c r="E142" i="54"/>
  <c r="Y154" i="54"/>
  <c r="D142" i="54"/>
  <c r="W142" i="54" s="1"/>
  <c r="X141" i="54"/>
  <c r="G142" i="54"/>
  <c r="S113" i="54"/>
  <c r="U113" i="54"/>
  <c r="V113" i="54"/>
  <c r="T113" i="54"/>
  <c r="J56" i="54"/>
  <c r="I56" i="54"/>
  <c r="S40" i="54"/>
  <c r="T40" i="54"/>
  <c r="V40" i="54"/>
  <c r="U40" i="54"/>
  <c r="V155" i="54"/>
  <c r="U155" i="54"/>
  <c r="T155" i="54"/>
  <c r="S155" i="54"/>
  <c r="F158" i="54"/>
  <c r="D158" i="54"/>
  <c r="Y202" i="54"/>
  <c r="E158" i="54"/>
  <c r="G158" i="54"/>
  <c r="X157" i="54"/>
  <c r="Y201" i="54"/>
  <c r="E10" i="54"/>
  <c r="Y21" i="54"/>
  <c r="Y22" i="54"/>
  <c r="F10" i="54"/>
  <c r="G10" i="54"/>
  <c r="H10" i="54" s="1"/>
  <c r="D10" i="54"/>
  <c r="X9" i="54"/>
  <c r="J7" i="77"/>
  <c r="V8" i="54"/>
  <c r="U8" i="54"/>
  <c r="S8" i="54"/>
  <c r="T8" i="54"/>
  <c r="Y54" i="54"/>
  <c r="E42" i="54"/>
  <c r="D42" i="54"/>
  <c r="W42" i="54" s="1"/>
  <c r="Y53" i="54"/>
  <c r="X41" i="54"/>
  <c r="F42" i="54"/>
  <c r="G42" i="54"/>
  <c r="J47" i="77"/>
  <c r="I8" i="77"/>
  <c r="G9" i="77"/>
  <c r="F8" i="77"/>
  <c r="O9" i="77"/>
  <c r="C10" i="77"/>
  <c r="H9" i="77" s="1"/>
  <c r="D246" i="54"/>
  <c r="F246" i="54"/>
  <c r="E246" i="54"/>
  <c r="Y253" i="54"/>
  <c r="X245" i="54"/>
  <c r="Y254" i="54"/>
  <c r="G246" i="54"/>
  <c r="Y75" i="54"/>
  <c r="Y76" i="54" s="1"/>
  <c r="X48" i="54"/>
  <c r="Y74" i="54"/>
  <c r="E49" i="54"/>
  <c r="F49" i="54"/>
  <c r="G49" i="54"/>
  <c r="D49" i="54"/>
  <c r="V55" i="54"/>
  <c r="U55" i="54"/>
  <c r="S55" i="54"/>
  <c r="T55" i="54"/>
  <c r="F215" i="54"/>
  <c r="X214" i="54"/>
  <c r="Y225" i="54"/>
  <c r="Y226" i="54" s="1"/>
  <c r="Y224" i="54"/>
  <c r="E215" i="54"/>
  <c r="G215" i="54"/>
  <c r="D215" i="54"/>
  <c r="G23" i="77"/>
  <c r="F22" i="77"/>
  <c r="I22" i="77"/>
  <c r="O23" i="77"/>
  <c r="C24" i="77"/>
  <c r="H23" i="77" s="1"/>
  <c r="H36" i="77"/>
  <c r="I35" i="77"/>
  <c r="F35" i="77"/>
  <c r="O36" i="77"/>
  <c r="C37" i="77"/>
  <c r="G36" i="77" s="1"/>
  <c r="H48" i="54"/>
  <c r="J34" i="77"/>
  <c r="V140" i="54"/>
  <c r="S140" i="54"/>
  <c r="T140" i="54"/>
  <c r="U140" i="54"/>
  <c r="S243" i="54"/>
  <c r="V243" i="54"/>
  <c r="T243" i="54"/>
  <c r="U243" i="54"/>
  <c r="K21" i="77"/>
  <c r="E35" i="77"/>
  <c r="U213" i="54"/>
  <c r="J9" i="54"/>
  <c r="I9" i="54"/>
  <c r="Y127" i="54"/>
  <c r="Y128" i="54"/>
  <c r="F116" i="54"/>
  <c r="X115" i="54"/>
  <c r="E116" i="54"/>
  <c r="D116" i="54"/>
  <c r="W116" i="54" s="1"/>
  <c r="G116" i="54"/>
  <c r="H41" i="54"/>
  <c r="E48" i="77"/>
  <c r="X148" i="54"/>
  <c r="F149" i="54"/>
  <c r="Y175" i="54"/>
  <c r="Y176" i="54" s="1"/>
  <c r="Y174" i="54"/>
  <c r="E149" i="54"/>
  <c r="G149" i="54"/>
  <c r="D149" i="54"/>
  <c r="T146" i="54"/>
  <c r="U146" i="54"/>
  <c r="V146" i="54"/>
  <c r="S146" i="54"/>
  <c r="S213" i="54" l="1"/>
  <c r="G49" i="77"/>
  <c r="V213" i="54"/>
  <c r="H49" i="77"/>
  <c r="T156" i="54"/>
  <c r="S156" i="54"/>
  <c r="U156" i="54" s="1"/>
  <c r="J103" i="77"/>
  <c r="K103" i="77"/>
  <c r="F104" i="77"/>
  <c r="I104" i="77"/>
  <c r="E104" i="77"/>
  <c r="L92" i="77"/>
  <c r="J157" i="54"/>
  <c r="I245" i="54"/>
  <c r="V245" i="54" s="1"/>
  <c r="I141" i="54"/>
  <c r="U141" i="54" s="1"/>
  <c r="V244" i="54"/>
  <c r="T244" i="54"/>
  <c r="U244" i="54"/>
  <c r="J57" i="54"/>
  <c r="J214" i="54"/>
  <c r="I115" i="54"/>
  <c r="V115" i="54" s="1"/>
  <c r="J48" i="77"/>
  <c r="E23" i="77"/>
  <c r="S114" i="54"/>
  <c r="U114" i="54"/>
  <c r="T114" i="54"/>
  <c r="K35" i="77"/>
  <c r="E9" i="77"/>
  <c r="I148" i="54"/>
  <c r="S148" i="54" s="1"/>
  <c r="H42" i="54"/>
  <c r="J42" i="54" s="1"/>
  <c r="H158" i="54"/>
  <c r="I158" i="54" s="1"/>
  <c r="K22" i="77"/>
  <c r="H142" i="54"/>
  <c r="J142" i="54" s="1"/>
  <c r="J8" i="77"/>
  <c r="H49" i="54"/>
  <c r="J49" i="54" s="1"/>
  <c r="K48" i="77"/>
  <c r="Y104" i="54"/>
  <c r="Y105" i="54"/>
  <c r="W58" i="54"/>
  <c r="J10" i="54"/>
  <c r="I10" i="54"/>
  <c r="X142" i="54"/>
  <c r="Y157" i="54"/>
  <c r="Y156" i="54"/>
  <c r="S47" i="54"/>
  <c r="U47" i="54"/>
  <c r="V47" i="54"/>
  <c r="T47" i="54"/>
  <c r="I48" i="54"/>
  <c r="J48" i="54"/>
  <c r="Y227" i="54"/>
  <c r="F216" i="54"/>
  <c r="Y228" i="54"/>
  <c r="E216" i="54"/>
  <c r="D216" i="54"/>
  <c r="G216" i="54"/>
  <c r="X215" i="54"/>
  <c r="W246" i="54"/>
  <c r="Y256" i="54"/>
  <c r="Y257" i="54"/>
  <c r="U214" i="54"/>
  <c r="T214" i="54"/>
  <c r="S214" i="54"/>
  <c r="V214" i="54"/>
  <c r="E11" i="54"/>
  <c r="Y25" i="54"/>
  <c r="Y24" i="54"/>
  <c r="F11" i="54"/>
  <c r="X10" i="54"/>
  <c r="G11" i="54"/>
  <c r="H11" i="54" s="1"/>
  <c r="D11" i="54"/>
  <c r="E150" i="54"/>
  <c r="F150" i="54"/>
  <c r="Y178" i="54"/>
  <c r="Y177" i="54"/>
  <c r="D150" i="54"/>
  <c r="G150" i="54"/>
  <c r="X149" i="54"/>
  <c r="H215" i="54"/>
  <c r="Y205" i="54"/>
  <c r="Y204" i="54"/>
  <c r="W158" i="54"/>
  <c r="H116" i="54"/>
  <c r="I36" i="77"/>
  <c r="O37" i="77"/>
  <c r="G37" i="77"/>
  <c r="C38" i="77"/>
  <c r="E37" i="77" s="1"/>
  <c r="F36" i="77"/>
  <c r="O24" i="77"/>
  <c r="F23" i="77"/>
  <c r="I23" i="77"/>
  <c r="C25" i="77"/>
  <c r="E24" i="77" s="1"/>
  <c r="G24" i="77"/>
  <c r="H246" i="54"/>
  <c r="I9" i="77"/>
  <c r="O10" i="77"/>
  <c r="C11" i="77"/>
  <c r="H10" i="77" s="1"/>
  <c r="F9" i="77"/>
  <c r="G10" i="77"/>
  <c r="U57" i="54"/>
  <c r="T57" i="54"/>
  <c r="S57" i="54"/>
  <c r="V57" i="54"/>
  <c r="J41" i="54"/>
  <c r="I41" i="54"/>
  <c r="H149" i="54"/>
  <c r="X116" i="54"/>
  <c r="Y131" i="54"/>
  <c r="Y130" i="54"/>
  <c r="J35" i="77"/>
  <c r="E36" i="77"/>
  <c r="F50" i="54"/>
  <c r="Y77" i="54"/>
  <c r="E50" i="54"/>
  <c r="Y78" i="54"/>
  <c r="D50" i="54"/>
  <c r="G50" i="54"/>
  <c r="X49" i="54"/>
  <c r="J22" i="77"/>
  <c r="U56" i="54"/>
  <c r="V56" i="54"/>
  <c r="S56" i="54"/>
  <c r="T56" i="54"/>
  <c r="V157" i="54"/>
  <c r="S157" i="54"/>
  <c r="U157" i="54"/>
  <c r="T157" i="54"/>
  <c r="H58" i="54"/>
  <c r="O50" i="77"/>
  <c r="H50" i="77"/>
  <c r="I49" i="77"/>
  <c r="C51" i="77"/>
  <c r="G50" i="77" s="1"/>
  <c r="F49" i="77"/>
  <c r="S9" i="54"/>
  <c r="V9" i="54"/>
  <c r="T9" i="54"/>
  <c r="U9" i="54"/>
  <c r="K8" i="77"/>
  <c r="X42" i="54"/>
  <c r="Y57" i="54"/>
  <c r="Y56" i="54"/>
  <c r="T245" i="54" l="1"/>
  <c r="S245" i="54"/>
  <c r="U245" i="54"/>
  <c r="T141" i="54"/>
  <c r="S141" i="54"/>
  <c r="J104" i="77"/>
  <c r="K104" i="77"/>
  <c r="V141" i="54"/>
  <c r="T115" i="54"/>
  <c r="U115" i="54"/>
  <c r="S115" i="54"/>
  <c r="V148" i="54"/>
  <c r="J158" i="54"/>
  <c r="U148" i="54"/>
  <c r="T148" i="54"/>
  <c r="I42" i="54"/>
  <c r="U42" i="54" s="1"/>
  <c r="I142" i="54"/>
  <c r="V142" i="54" s="1"/>
  <c r="I49" i="54"/>
  <c r="S49" i="54" s="1"/>
  <c r="H24" i="77"/>
  <c r="K23" i="77"/>
  <c r="J49" i="77"/>
  <c r="H150" i="54"/>
  <c r="I150" i="54" s="1"/>
  <c r="K49" i="77"/>
  <c r="I116" i="54"/>
  <c r="J116" i="54"/>
  <c r="J23" i="77"/>
  <c r="F12" i="54"/>
  <c r="E12" i="54"/>
  <c r="Y28" i="54"/>
  <c r="Y27" i="54"/>
  <c r="D12" i="54"/>
  <c r="W12" i="54" s="1"/>
  <c r="G12" i="54"/>
  <c r="H12" i="54" s="1"/>
  <c r="I149" i="54"/>
  <c r="J149" i="54"/>
  <c r="I246" i="54"/>
  <c r="J246" i="54"/>
  <c r="I11" i="54"/>
  <c r="J11" i="54"/>
  <c r="Y80" i="54"/>
  <c r="E51" i="54"/>
  <c r="Y81" i="54"/>
  <c r="F51" i="54"/>
  <c r="D51" i="54"/>
  <c r="G51" i="54"/>
  <c r="X50" i="54"/>
  <c r="T41" i="54"/>
  <c r="V41" i="54"/>
  <c r="S41" i="54"/>
  <c r="U41" i="54"/>
  <c r="K36" i="77"/>
  <c r="U48" i="54"/>
  <c r="T48" i="54"/>
  <c r="S48" i="54"/>
  <c r="V48" i="54"/>
  <c r="S10" i="54"/>
  <c r="V10" i="54"/>
  <c r="T10" i="54"/>
  <c r="U10" i="54"/>
  <c r="I215" i="54"/>
  <c r="J215" i="54"/>
  <c r="I50" i="77"/>
  <c r="O51" i="77"/>
  <c r="G51" i="77"/>
  <c r="F50" i="77"/>
  <c r="C52" i="77"/>
  <c r="E51" i="77" s="1"/>
  <c r="I37" i="77"/>
  <c r="O38" i="77"/>
  <c r="F37" i="77"/>
  <c r="C39" i="77"/>
  <c r="G38" i="77"/>
  <c r="Y181" i="54"/>
  <c r="X150" i="54"/>
  <c r="F151" i="54"/>
  <c r="E151" i="54"/>
  <c r="G151" i="54"/>
  <c r="D151" i="54"/>
  <c r="Y180" i="54"/>
  <c r="H216" i="54"/>
  <c r="I58" i="54"/>
  <c r="J58" i="54"/>
  <c r="E50" i="77"/>
  <c r="J36" i="77"/>
  <c r="K9" i="77"/>
  <c r="Y230" i="54"/>
  <c r="E217" i="54"/>
  <c r="F217" i="54"/>
  <c r="Y231" i="54"/>
  <c r="G217" i="54"/>
  <c r="D217" i="54"/>
  <c r="X216" i="54"/>
  <c r="U158" i="54"/>
  <c r="T158" i="54"/>
  <c r="V158" i="54"/>
  <c r="S158" i="54"/>
  <c r="G11" i="77"/>
  <c r="O11" i="77"/>
  <c r="C12" i="77"/>
  <c r="E11" i="77" s="1"/>
  <c r="I10" i="77"/>
  <c r="F10" i="77"/>
  <c r="C26" i="77"/>
  <c r="H25" i="77" s="1"/>
  <c r="G25" i="77"/>
  <c r="O25" i="77"/>
  <c r="I24" i="77"/>
  <c r="F24" i="77"/>
  <c r="H37" i="77"/>
  <c r="H50" i="54"/>
  <c r="E10" i="77"/>
  <c r="J9" i="77"/>
  <c r="T49" i="54" l="1"/>
  <c r="V49" i="54"/>
  <c r="S42" i="54"/>
  <c r="T42" i="54"/>
  <c r="U49" i="54"/>
  <c r="V42" i="54"/>
  <c r="U142" i="54"/>
  <c r="T142" i="54"/>
  <c r="J150" i="54"/>
  <c r="S142" i="54"/>
  <c r="H217" i="54"/>
  <c r="I217" i="54" s="1"/>
  <c r="E25" i="77"/>
  <c r="J50" i="77"/>
  <c r="K10" i="77"/>
  <c r="H11" i="77"/>
  <c r="J37" i="77"/>
  <c r="H51" i="77"/>
  <c r="H51" i="54"/>
  <c r="J51" i="54" s="1"/>
  <c r="K24" i="77"/>
  <c r="T149" i="54"/>
  <c r="S149" i="54"/>
  <c r="U149" i="54"/>
  <c r="V149" i="54"/>
  <c r="G39" i="77"/>
  <c r="O39" i="77"/>
  <c r="C40" i="77"/>
  <c r="H39" i="77" s="1"/>
  <c r="F38" i="77"/>
  <c r="I38" i="77"/>
  <c r="I12" i="54"/>
  <c r="J12" i="54"/>
  <c r="V116" i="54"/>
  <c r="T116" i="54"/>
  <c r="S116" i="54"/>
  <c r="U116" i="54"/>
  <c r="J10" i="77"/>
  <c r="I11" i="77"/>
  <c r="G12" i="77"/>
  <c r="O12" i="77"/>
  <c r="C13" i="77"/>
  <c r="H12" i="77" s="1"/>
  <c r="F11" i="77"/>
  <c r="S58" i="54"/>
  <c r="U58" i="54"/>
  <c r="T58" i="54"/>
  <c r="V58" i="54"/>
  <c r="X12" i="54"/>
  <c r="Y30" i="54"/>
  <c r="Y31" i="54"/>
  <c r="I50" i="54"/>
  <c r="J50" i="54"/>
  <c r="J216" i="54"/>
  <c r="I216" i="54"/>
  <c r="V215" i="54"/>
  <c r="U215" i="54"/>
  <c r="S215" i="54"/>
  <c r="T215" i="54"/>
  <c r="S11" i="54"/>
  <c r="V11" i="54"/>
  <c r="T11" i="54"/>
  <c r="U11" i="54"/>
  <c r="Y233" i="54"/>
  <c r="Y234" i="54"/>
  <c r="X217" i="54"/>
  <c r="D218" i="54"/>
  <c r="W218" i="54" s="1"/>
  <c r="E218" i="54"/>
  <c r="G218" i="54"/>
  <c r="F218" i="54"/>
  <c r="H38" i="77"/>
  <c r="F51" i="77"/>
  <c r="O52" i="77"/>
  <c r="I51" i="77"/>
  <c r="C53" i="77"/>
  <c r="E52" i="77" s="1"/>
  <c r="G52" i="77"/>
  <c r="S150" i="54"/>
  <c r="V150" i="54"/>
  <c r="T150" i="54"/>
  <c r="U150" i="54"/>
  <c r="K37" i="77"/>
  <c r="E152" i="54"/>
  <c r="X151" i="54"/>
  <c r="D152" i="54"/>
  <c r="W152" i="54" s="1"/>
  <c r="Y184" i="54"/>
  <c r="G152" i="54"/>
  <c r="Y183" i="54"/>
  <c r="F152" i="54"/>
  <c r="K50" i="77"/>
  <c r="Y84" i="54"/>
  <c r="X51" i="54"/>
  <c r="F52" i="54"/>
  <c r="G52" i="54"/>
  <c r="E52" i="54"/>
  <c r="D52" i="54"/>
  <c r="W52" i="54" s="1"/>
  <c r="Y83" i="54"/>
  <c r="C27" i="77"/>
  <c r="E26" i="77" s="1"/>
  <c r="O26" i="77"/>
  <c r="F25" i="77"/>
  <c r="I25" i="77"/>
  <c r="G26" i="77"/>
  <c r="H151" i="54"/>
  <c r="E38" i="77"/>
  <c r="U246" i="54"/>
  <c r="V246" i="54"/>
  <c r="T246" i="54"/>
  <c r="S246" i="54"/>
  <c r="J24" i="77"/>
  <c r="J217" i="54" l="1"/>
  <c r="H52" i="77"/>
  <c r="I51" i="54"/>
  <c r="T51" i="54" s="1"/>
  <c r="H26" i="77"/>
  <c r="E39" i="77"/>
  <c r="H52" i="54"/>
  <c r="J52" i="54" s="1"/>
  <c r="E12" i="77"/>
  <c r="J25" i="77"/>
  <c r="J38" i="77"/>
  <c r="K11" i="77"/>
  <c r="K51" i="77"/>
  <c r="J11" i="77"/>
  <c r="I151" i="54"/>
  <c r="J151" i="54"/>
  <c r="U217" i="54"/>
  <c r="T217" i="54"/>
  <c r="V217" i="54"/>
  <c r="S217" i="54"/>
  <c r="H152" i="54"/>
  <c r="T216" i="54"/>
  <c r="S216" i="54"/>
  <c r="U216" i="54"/>
  <c r="V216" i="54"/>
  <c r="S12" i="54"/>
  <c r="U12" i="54"/>
  <c r="T12" i="54"/>
  <c r="V12" i="54"/>
  <c r="X52" i="54"/>
  <c r="Y87" i="54"/>
  <c r="Y86" i="54"/>
  <c r="H218" i="54"/>
  <c r="K25" i="77"/>
  <c r="X152" i="54"/>
  <c r="Y186" i="54"/>
  <c r="Y187" i="54"/>
  <c r="G53" i="77"/>
  <c r="O53" i="77"/>
  <c r="C54" i="77"/>
  <c r="I52" i="77"/>
  <c r="F52" i="77"/>
  <c r="K38" i="77"/>
  <c r="U50" i="54"/>
  <c r="V50" i="54"/>
  <c r="T50" i="54"/>
  <c r="S50" i="54"/>
  <c r="X218" i="54"/>
  <c r="Y237" i="54"/>
  <c r="Y236" i="54"/>
  <c r="C28" i="77"/>
  <c r="H27" i="77" s="1"/>
  <c r="G27" i="77"/>
  <c r="O27" i="77"/>
  <c r="I26" i="77"/>
  <c r="F26" i="77"/>
  <c r="F12" i="77"/>
  <c r="G13" i="77"/>
  <c r="I12" i="77"/>
  <c r="O13" i="77"/>
  <c r="C14" i="77"/>
  <c r="I39" i="77"/>
  <c r="G40" i="77"/>
  <c r="F39" i="77"/>
  <c r="O40" i="77"/>
  <c r="C41" i="77"/>
  <c r="E40" i="77" s="1"/>
  <c r="J51" i="77"/>
  <c r="I52" i="54" l="1"/>
  <c r="U52" i="54" s="1"/>
  <c r="S51" i="54"/>
  <c r="U51" i="54"/>
  <c r="V51" i="54"/>
  <c r="E27" i="77"/>
  <c r="K52" i="77"/>
  <c r="J39" i="77"/>
  <c r="K26" i="77"/>
  <c r="H40" i="77"/>
  <c r="K12" i="77"/>
  <c r="I13" i="77"/>
  <c r="F13" i="77"/>
  <c r="L2" i="77"/>
  <c r="O54" i="77"/>
  <c r="F53" i="77"/>
  <c r="I53" i="77"/>
  <c r="G54" i="77"/>
  <c r="C55" i="77"/>
  <c r="O41" i="77"/>
  <c r="G41" i="77"/>
  <c r="I40" i="77"/>
  <c r="C42" i="77"/>
  <c r="H41" i="77" s="1"/>
  <c r="F40" i="77"/>
  <c r="H13" i="77"/>
  <c r="E13" i="77"/>
  <c r="H53" i="77"/>
  <c r="J218" i="54"/>
  <c r="I218" i="54"/>
  <c r="J12" i="77"/>
  <c r="K39" i="77"/>
  <c r="E53" i="77"/>
  <c r="J26" i="77"/>
  <c r="I27" i="77"/>
  <c r="F27" i="77"/>
  <c r="L16" i="77"/>
  <c r="J52" i="77"/>
  <c r="I152" i="54"/>
  <c r="J152" i="54"/>
  <c r="S151" i="54"/>
  <c r="V151" i="54"/>
  <c r="U151" i="54"/>
  <c r="T151" i="54"/>
  <c r="S52" i="54" l="1"/>
  <c r="V52" i="54"/>
  <c r="T52" i="54"/>
  <c r="K40" i="77"/>
  <c r="K27" i="77"/>
  <c r="J40" i="77"/>
  <c r="J13" i="77"/>
  <c r="J53" i="77"/>
  <c r="J27" i="77"/>
  <c r="I54" i="77"/>
  <c r="O55" i="77"/>
  <c r="H55" i="77"/>
  <c r="C56" i="77"/>
  <c r="G55" i="77" s="1"/>
  <c r="F54" i="77"/>
  <c r="K13" i="77"/>
  <c r="U152" i="54"/>
  <c r="S152" i="54"/>
  <c r="V152" i="54"/>
  <c r="T152" i="54"/>
  <c r="E41" i="77"/>
  <c r="H54" i="77"/>
  <c r="S218" i="54"/>
  <c r="U218" i="54"/>
  <c r="V218" i="54"/>
  <c r="T218" i="54"/>
  <c r="E54" i="77"/>
  <c r="I41" i="77"/>
  <c r="F41" i="77"/>
  <c r="L30" i="77"/>
  <c r="K53" i="77"/>
  <c r="K41" i="77" l="1"/>
  <c r="J41" i="77"/>
  <c r="K54" i="77"/>
  <c r="F55" i="77"/>
  <c r="I55" i="77"/>
  <c r="L44" i="77"/>
  <c r="E55" i="77"/>
  <c r="J54" i="77"/>
  <c r="J55" i="77" l="1"/>
  <c r="K55" i="77"/>
</calcChain>
</file>

<file path=xl/sharedStrings.xml><?xml version="1.0" encoding="utf-8"?>
<sst xmlns="http://schemas.openxmlformats.org/spreadsheetml/2006/main" count="450" uniqueCount="130">
  <si>
    <t>Project North</t>
  </si>
  <si>
    <t>WORKING DRAFT</t>
  </si>
  <si>
    <t>$'000</t>
  </si>
  <si>
    <t>FY21</t>
  </si>
  <si>
    <t>FY22</t>
  </si>
  <si>
    <t>FY23</t>
  </si>
  <si>
    <t>TTM
Apr-24</t>
  </si>
  <si>
    <t>Concatenate</t>
  </si>
  <si>
    <t>Professional services revenue</t>
  </si>
  <si>
    <t>$5 /sq.ft. *2083 sq.ft. = $10,415 /annum
(to be paid in monthly installments)</t>
  </si>
  <si>
    <t>$16.39 psf
(For FY23)</t>
  </si>
  <si>
    <t>Card management</t>
  </si>
  <si>
    <t>Mobile payments</t>
  </si>
  <si>
    <t>Source: Everlink Rev &amp; COGS  IFRS15 by LoB by Month (2021); Everlink Rev &amp; COGS  IFRS15 by LoB by Month (2022); Everlink Rev &amp; COGS  IFRS15 by LoB by Month (2023)</t>
  </si>
  <si>
    <t>Digital solutions</t>
  </si>
  <si>
    <t>Retail solutions</t>
  </si>
  <si>
    <t>Fraud Management</t>
  </si>
  <si>
    <t>Payment Network Gateway</t>
  </si>
  <si>
    <t>ATM Managed Services</t>
  </si>
  <si>
    <t>Source: 4 Office Lease Markham ON folder</t>
  </si>
  <si>
    <t>File</t>
  </si>
  <si>
    <t>Type</t>
  </si>
  <si>
    <t>Landlord</t>
  </si>
  <si>
    <t>Tenant</t>
  </si>
  <si>
    <t>Location</t>
  </si>
  <si>
    <t>Date of 
agreement</t>
  </si>
  <si>
    <t>Term</t>
  </si>
  <si>
    <t>Start date</t>
  </si>
  <si>
    <t>End date</t>
  </si>
  <si>
    <t>Possession
date</t>
  </si>
  <si>
    <t>Sq ft.</t>
  </si>
  <si>
    <t>Rent</t>
  </si>
  <si>
    <t>Additional
rent</t>
  </si>
  <si>
    <t>Deposit</t>
  </si>
  <si>
    <t>Rent free
period</t>
  </si>
  <si>
    <t>2016.02.12_Everlink_Office Lease_(125 Commerce Valley)_(SIGNED)</t>
  </si>
  <si>
    <t>Office lease</t>
  </si>
  <si>
    <t>OPTrust Office Inc. and 6763332 Canada Inc,</t>
  </si>
  <si>
    <t>Everlink Payment Services Inc.</t>
  </si>
  <si>
    <t>125 Commerce Valley Drive West, Markham, Ontario</t>
  </si>
  <si>
    <t>10 yrs</t>
  </si>
  <si>
    <t>Ground : 15,573
Concourse: 2,332
Total: 17905</t>
  </si>
  <si>
    <r>
      <rPr>
        <b/>
        <sz val="8"/>
        <color theme="1"/>
        <rFont val="Arial"/>
        <family val="2"/>
      </rPr>
      <t xml:space="preserve">Ground floor:
</t>
    </r>
    <r>
      <rPr>
        <sz val="8"/>
        <color theme="1"/>
        <rFont val="Arial"/>
        <family val="2"/>
      </rPr>
      <t>Aug-16 to Jun-18: $23,359.5 /month
Aug-18 to Jul-21: $24,008.38 /month
Aug-21 to Jul-26: $24,657.25 /month</t>
    </r>
    <r>
      <rPr>
        <b/>
        <sz val="8"/>
        <color theme="1"/>
        <rFont val="Arial"/>
        <family val="2"/>
      </rPr>
      <t xml:space="preserve"> 
Concourse floor:</t>
    </r>
    <r>
      <rPr>
        <sz val="8"/>
        <color theme="1"/>
        <rFont val="Arial"/>
        <family val="2"/>
      </rPr>
      <t xml:space="preserve">
Aug-16 to Jul-18: $2,915 /month
Aug-18 to Jul-21: $3,012.17 /month
Aug-21 to Jul-26: $3,206.5 /month</t>
    </r>
  </si>
  <si>
    <t>Operating cost: $9.92 /sq.ft.
Taxes: $4.14/sq.ft.</t>
  </si>
  <si>
    <t>Advance rent :$53,398.96
Deposit: $56,521.29</t>
  </si>
  <si>
    <t>2020-01-15 - Amendment 1</t>
  </si>
  <si>
    <t>Industrial Alliance Insurance &amp; Financial Services Inc</t>
  </si>
  <si>
    <t>6 yrs</t>
  </si>
  <si>
    <t>Concourse: 2083</t>
  </si>
  <si>
    <t>$18 /sq.ft. /annum</t>
  </si>
  <si>
    <t>Operating cost: $11.4psf
Taxes: $3.99psf</t>
  </si>
  <si>
    <t>FINAL - Offer to Sublease - 125 Commerce Valley Dr W (Everlink - NFP Canada) - July 5 2023</t>
  </si>
  <si>
    <t>Sub lease</t>
  </si>
  <si>
    <t>Everlink Payment Services Inc. (Sub landlord)</t>
  </si>
  <si>
    <t>NFP Canada Corp
(Sub tenant)</t>
  </si>
  <si>
    <t>2 yrs 7 months</t>
  </si>
  <si>
    <t>First &amp; last month Net rent plus additional rent</t>
  </si>
  <si>
    <t>1-Jan-24 to
30-Apr-24</t>
  </si>
  <si>
    <t>% of revenue (actual)</t>
  </si>
  <si>
    <t>Account 
code</t>
  </si>
  <si>
    <t>Professional Service Fees Revenue</t>
  </si>
  <si>
    <t>425101</t>
  </si>
  <si>
    <t>425101 - Professional Service Fees Revenue</t>
  </si>
  <si>
    <t>Professional Service Fees - Major Projects</t>
  </si>
  <si>
    <t>425103</t>
  </si>
  <si>
    <t>425103 - Professional Service Fees - Major Projects</t>
  </si>
  <si>
    <t>Visa Debit Affiliate - Implementation Fee</t>
  </si>
  <si>
    <t>425112</t>
  </si>
  <si>
    <t>425112 - Visa Debit Affiliate - Implementation Fee</t>
  </si>
  <si>
    <t>DMA - Program Onboarding Fee</t>
  </si>
  <si>
    <t>425110</t>
  </si>
  <si>
    <t>425110 - DMA - Program Onboarding Fee</t>
  </si>
  <si>
    <t>Revenue | Professional services</t>
  </si>
  <si>
    <t>% of revenue (Professional services)</t>
  </si>
  <si>
    <t>Waterfall Number</t>
  </si>
  <si>
    <t>Base data</t>
  </si>
  <si>
    <t>Current total</t>
  </si>
  <si>
    <t>Intermediary results</t>
  </si>
  <si>
    <t>Support data</t>
  </si>
  <si>
    <t>Positive data above</t>
  </si>
  <si>
    <t>Positive data below</t>
  </si>
  <si>
    <t>Negative data above</t>
  </si>
  <si>
    <t>Negative data below</t>
  </si>
  <si>
    <t>Label positions</t>
  </si>
  <si>
    <t>Label text</t>
  </si>
  <si>
    <t>Y-axis min value (or max value if negative)</t>
  </si>
  <si>
    <t>Current waterfall number</t>
  </si>
  <si>
    <t>Current line number</t>
  </si>
  <si>
    <t>Labels positions when displayed outside the bars</t>
  </si>
  <si>
    <t>Labels above</t>
  </si>
  <si>
    <t>Labels below</t>
  </si>
  <si>
    <t>Ligne courante</t>
  </si>
  <si>
    <t>Nombre de waterfall total</t>
  </si>
  <si>
    <t>Col 1..</t>
  </si>
  <si>
    <t>Col 2..</t>
  </si>
  <si>
    <t>Col 3..</t>
  </si>
  <si>
    <t>Col 4..</t>
  </si>
  <si>
    <t>Col 5..</t>
  </si>
  <si>
    <t>Col 6..</t>
  </si>
  <si>
    <t>Col 7..</t>
  </si>
  <si>
    <t>Col 8..</t>
  </si>
  <si>
    <t>Col 9..</t>
  </si>
  <si>
    <t>Col 10..</t>
  </si>
  <si>
    <t>Col 11..</t>
  </si>
  <si>
    <t>Col 12..</t>
  </si>
  <si>
    <t>Col 14..</t>
  </si>
  <si>
    <t>Col 15..</t>
  </si>
  <si>
    <t>Col 16..</t>
  </si>
  <si>
    <t>Col 17..</t>
  </si>
  <si>
    <t>Col 18..</t>
  </si>
  <si>
    <t>Col 19..</t>
  </si>
  <si>
    <t>Col 30..</t>
  </si>
  <si>
    <t>Col 31..</t>
  </si>
  <si>
    <t>Col 32..</t>
  </si>
  <si>
    <t>Col 33..</t>
  </si>
  <si>
    <t>Col 34..</t>
  </si>
  <si>
    <t>Col 35..</t>
  </si>
  <si>
    <t>Col 20..</t>
  </si>
  <si>
    <t>Col 21.1.UnnamedData.</t>
  </si>
  <si>
    <t>Col 22.1.UnnamedData.</t>
  </si>
  <si>
    <t>Col 23.1.UnnamedData.</t>
  </si>
  <si>
    <t>Col 24.1.UnnamedData.</t>
  </si>
  <si>
    <t>Col 25.1.UnnamedData.</t>
  </si>
  <si>
    <t>Col 26.1.UnnamedData.</t>
  </si>
  <si>
    <t>Col 27.1.UnnamedData.</t>
  </si>
  <si>
    <t>Col 28.1.UnnamedData.</t>
  </si>
  <si>
    <t>Col 29.1.UnnamedData.</t>
  </si>
  <si>
    <t>Lease summary per agreements</t>
  </si>
  <si>
    <t>TTM
Jun-24</t>
  </si>
  <si>
    <t>Additional premises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</si>
</sst>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 * #,##0_ ;_*\ \(#,##0\);_ * &quot;-&quot;_ ;_ @_ "/>
    <numFmt numFmtId="165" formatCode="#,##0.0%_);\(#,##0.0\)%;\-_);@"/>
    <numFmt numFmtId="171" formatCode="[$-409]d\-mmm\-yy;@"/>
    <numFmt numFmtId="173" formatCode="_(* #,##0_);_(* \(#,##0\);_(* &quot; - &quot;_);_(@_)"/>
    <numFmt numFmtId="176" formatCode="_(* #,##0.0_);_(* \(#,##0.0\);_(* &quot;-&quot;?_);_(@_)"/>
    <numFmt numFmtId="177" formatCode="_(* #,##0.0_);_(* \(#,##0.0\);_(* &quot;-&quot;_);_(@_)"/>
    <numFmt numFmtId="179" formatCode="#,##0_);\(#,##0\);&quot; - &quot;_)"/>
    <numFmt numFmtId="180" formatCode="_-* #,##0.00_-;\-* #,##0.00_-;_-* &quot;-&quot;??_-;_-@_-"/>
  </numFmts>
  <fonts count="56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18"/>
      <color rgb="FF00338D"/>
      <name val="KPMG Bold"/>
      <family val="2"/>
    </font>
    <font>
      <i/>
      <sz val="9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C00000"/>
      <name val="Arial"/>
      <family val="2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i/>
      <sz val="8"/>
      <color rgb="FFFFFFFF"/>
      <name val="Arial"/>
      <family val="2"/>
    </font>
    <font>
      <i/>
      <sz val="8"/>
      <color rgb="FF000000"/>
      <name val="Arial"/>
      <family val="2"/>
    </font>
    <font>
      <b/>
      <i/>
      <sz val="8"/>
      <color rgb="FF000000"/>
      <name val="Arial"/>
      <family val="2"/>
    </font>
    <font>
      <i/>
      <sz val="8"/>
      <color indexed="8"/>
      <name val="Arial"/>
      <family val="2"/>
    </font>
    <font>
      <sz val="8"/>
      <color theme="1"/>
      <name val="Univers for KPMG"/>
      <family val="2"/>
    </font>
    <font>
      <sz val="8"/>
      <name val="Arial"/>
      <family val="2"/>
    </font>
    <font>
      <sz val="10"/>
      <name val="Arial"/>
      <family val="2"/>
    </font>
    <font>
      <u/>
      <sz val="8"/>
      <color theme="10"/>
      <name val="Arial"/>
      <family val="2"/>
    </font>
    <font>
      <sz val="8.25"/>
      <color rgb="FF000000"/>
      <name val="Microsoft Sans Serif"/>
      <family val="2"/>
    </font>
    <font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</borders>
  <cellStyleXfs count="64">
    <xf numFmtId="0" fontId="0" fillId="0" borderId="0"/>
    <xf numFmtId="0" fontId="35" fillId="0" borderId="0"/>
    <xf numFmtId="0" fontId="36" fillId="0" borderId="0"/>
    <xf numFmtId="0" fontId="50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52" fillId="0" borderId="0"/>
    <xf numFmtId="0" fontId="52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4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53" fillId="0" borderId="0" applyNumberFormat="0" applyFill="0" applyBorder="0" applyAlignment="0" applyProtection="0"/>
    <xf numFmtId="0" fontId="32" fillId="0" borderId="0"/>
    <xf numFmtId="0" fontId="54" fillId="0" borderId="0" applyAlignment="0"/>
    <xf numFmtId="0" fontId="31" fillId="0" borderId="0"/>
    <xf numFmtId="0" fontId="30" fillId="0" borderId="0"/>
    <xf numFmtId="0" fontId="51" fillId="0" borderId="0"/>
    <xf numFmtId="0" fontId="29" fillId="0" borderId="0"/>
    <xf numFmtId="43" fontId="55" fillId="0" borderId="0" applyFont="0" applyFill="0" applyBorder="0" applyAlignment="0" applyProtection="0"/>
    <xf numFmtId="0" fontId="55" fillId="0" borderId="0">
      <alignment vertical="center"/>
    </xf>
    <xf numFmtId="0" fontId="28" fillId="0" borderId="0"/>
    <xf numFmtId="180" fontId="36" fillId="0" borderId="0" applyFont="0" applyFill="0" applyBorder="0" applyAlignment="0" applyProtection="0"/>
    <xf numFmtId="0" fontId="27" fillId="0" borderId="0"/>
    <xf numFmtId="0" fontId="26" fillId="0" borderId="0"/>
    <xf numFmtId="43" fontId="26" fillId="0" borderId="0" applyFont="0" applyFill="0" applyBorder="0" applyAlignment="0" applyProtection="0"/>
    <xf numFmtId="0" fontId="36" fillId="0" borderId="0"/>
    <xf numFmtId="0" fontId="26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</cellStyleXfs>
  <cellXfs count="111">
    <xf numFmtId="0" fontId="0" fillId="0" borderId="0" xfId="0"/>
    <xf numFmtId="0" fontId="35" fillId="0" borderId="0" xfId="1"/>
    <xf numFmtId="41" fontId="35" fillId="0" borderId="0" xfId="1" applyNumberFormat="1"/>
    <xf numFmtId="41" fontId="38" fillId="0" borderId="0" xfId="1" applyNumberFormat="1" applyFont="1"/>
    <xf numFmtId="0" fontId="35" fillId="2" borderId="0" xfId="1" applyFill="1" applyAlignment="1">
      <alignment horizontal="left"/>
    </xf>
    <xf numFmtId="0" fontId="35" fillId="0" borderId="0" xfId="1" applyAlignment="1">
      <alignment horizontal="left"/>
    </xf>
    <xf numFmtId="0" fontId="39" fillId="0" borderId="0" xfId="1" applyFont="1" applyAlignment="1">
      <alignment horizontal="left"/>
    </xf>
    <xf numFmtId="0" fontId="40" fillId="0" borderId="0" xfId="1" applyFont="1" applyAlignment="1">
      <alignment horizontal="left"/>
    </xf>
    <xf numFmtId="0" fontId="41" fillId="0" borderId="0" xfId="1" applyFont="1" applyAlignment="1">
      <alignment horizontal="left"/>
    </xf>
    <xf numFmtId="0" fontId="42" fillId="0" borderId="0" xfId="1" applyFont="1" applyAlignment="1">
      <alignment horizontal="left"/>
    </xf>
    <xf numFmtId="17" fontId="44" fillId="4" borderId="0" xfId="0" applyNumberFormat="1" applyFont="1" applyFill="1" applyAlignment="1">
      <alignment horizontal="right"/>
    </xf>
    <xf numFmtId="0" fontId="44" fillId="4" borderId="0" xfId="0" applyFont="1" applyFill="1" applyAlignment="1">
      <alignment horizontal="left"/>
    </xf>
    <xf numFmtId="0" fontId="43" fillId="3" borderId="0" xfId="0" applyFont="1" applyFill="1" applyAlignment="1">
      <alignment horizontal="left"/>
    </xf>
    <xf numFmtId="0" fontId="43" fillId="3" borderId="0" xfId="0" applyFont="1" applyFill="1" applyAlignment="1">
      <alignment horizontal="left" indent="2"/>
    </xf>
    <xf numFmtId="0" fontId="43" fillId="3" borderId="0" xfId="0" applyFont="1" applyFill="1" applyAlignment="1">
      <alignment horizontal="left" indent="1"/>
    </xf>
    <xf numFmtId="0" fontId="43" fillId="3" borderId="2" xfId="0" applyFont="1" applyFill="1" applyBorder="1" applyAlignment="1">
      <alignment horizontal="left" indent="2"/>
    </xf>
    <xf numFmtId="0" fontId="43" fillId="3" borderId="2" xfId="0" applyFont="1" applyFill="1" applyBorder="1" applyAlignment="1">
      <alignment horizontal="left"/>
    </xf>
    <xf numFmtId="0" fontId="44" fillId="4" borderId="0" xfId="0" applyFont="1" applyFill="1" applyAlignment="1">
      <alignment horizontal="left" wrapText="1"/>
    </xf>
    <xf numFmtId="17" fontId="44" fillId="4" borderId="7" xfId="0" applyNumberFormat="1" applyFont="1" applyFill="1" applyBorder="1" applyAlignment="1">
      <alignment horizontal="right"/>
    </xf>
    <xf numFmtId="17" fontId="46" fillId="6" borderId="8" xfId="0" applyNumberFormat="1" applyFont="1" applyFill="1" applyBorder="1" applyAlignment="1">
      <alignment horizontal="centerContinuous"/>
    </xf>
    <xf numFmtId="17" fontId="46" fillId="6" borderId="9" xfId="0" applyNumberFormat="1" applyFont="1" applyFill="1" applyBorder="1" applyAlignment="1">
      <alignment horizontal="centerContinuous"/>
    </xf>
    <xf numFmtId="17" fontId="46" fillId="6" borderId="0" xfId="0" applyNumberFormat="1" applyFont="1" applyFill="1" applyAlignment="1">
      <alignment horizontal="right"/>
    </xf>
    <xf numFmtId="17" fontId="46" fillId="6" borderId="7" xfId="0" applyNumberFormat="1" applyFont="1" applyFill="1" applyBorder="1" applyAlignment="1">
      <alignment horizontal="right"/>
    </xf>
    <xf numFmtId="165" fontId="47" fillId="3" borderId="0" xfId="0" applyNumberFormat="1" applyFont="1" applyFill="1"/>
    <xf numFmtId="165" fontId="47" fillId="3" borderId="5" xfId="0" applyNumberFormat="1" applyFont="1" applyFill="1" applyBorder="1"/>
    <xf numFmtId="165" fontId="47" fillId="3" borderId="2" xfId="0" applyNumberFormat="1" applyFont="1" applyFill="1" applyBorder="1"/>
    <xf numFmtId="165" fontId="47" fillId="3" borderId="6" xfId="0" applyNumberFormat="1" applyFont="1" applyFill="1" applyBorder="1"/>
    <xf numFmtId="0" fontId="49" fillId="2" borderId="0" xfId="1" applyFont="1" applyFill="1" applyAlignment="1">
      <alignment horizontal="left"/>
    </xf>
    <xf numFmtId="0" fontId="0" fillId="2" borderId="0" xfId="0" applyFill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0" fillId="0" borderId="0" xfId="0" applyAlignment="1">
      <alignment horizontal="left"/>
    </xf>
    <xf numFmtId="17" fontId="46" fillId="6" borderId="14" xfId="0" applyNumberFormat="1" applyFont="1" applyFill="1" applyBorder="1" applyAlignment="1">
      <alignment horizontal="right"/>
    </xf>
    <xf numFmtId="164" fontId="43" fillId="0" borderId="0" xfId="0" applyNumberFormat="1" applyFont="1"/>
    <xf numFmtId="164" fontId="43" fillId="0" borderId="5" xfId="0" applyNumberFormat="1" applyFont="1" applyBorder="1"/>
    <xf numFmtId="164" fontId="43" fillId="0" borderId="3" xfId="0" applyNumberFormat="1" applyFont="1" applyBorder="1"/>
    <xf numFmtId="164" fontId="43" fillId="0" borderId="2" xfId="0" applyNumberFormat="1" applyFont="1" applyBorder="1"/>
    <xf numFmtId="164" fontId="43" fillId="0" borderId="6" xfId="0" applyNumberFormat="1" applyFont="1" applyBorder="1"/>
    <xf numFmtId="164" fontId="43" fillId="0" borderId="4" xfId="0" applyNumberFormat="1" applyFont="1" applyBorder="1"/>
    <xf numFmtId="17" fontId="44" fillId="4" borderId="9" xfId="0" applyNumberFormat="1" applyFont="1" applyFill="1" applyBorder="1" applyAlignment="1">
      <alignment horizontal="centerContinuous"/>
    </xf>
    <xf numFmtId="165" fontId="47" fillId="0" borderId="0" xfId="0" applyNumberFormat="1" applyFont="1"/>
    <xf numFmtId="165" fontId="47" fillId="0" borderId="2" xfId="0" applyNumberFormat="1" applyFont="1" applyBorder="1"/>
    <xf numFmtId="17" fontId="44" fillId="4" borderId="16" xfId="0" applyNumberFormat="1" applyFont="1" applyFill="1" applyBorder="1" applyAlignment="1">
      <alignment horizontal="centerContinuous"/>
    </xf>
    <xf numFmtId="2" fontId="0" fillId="0" borderId="0" xfId="0" applyNumberFormat="1"/>
    <xf numFmtId="41" fontId="0" fillId="0" borderId="0" xfId="0" applyNumberFormat="1"/>
    <xf numFmtId="176" fontId="0" fillId="0" borderId="0" xfId="0" applyNumberFormat="1"/>
    <xf numFmtId="17" fontId="44" fillId="4" borderId="0" xfId="0" applyNumberFormat="1" applyFont="1" applyFill="1" applyAlignment="1">
      <alignment horizontal="centerContinuous"/>
    </xf>
    <xf numFmtId="17" fontId="46" fillId="6" borderId="0" xfId="0" applyNumberFormat="1" applyFont="1" applyFill="1" applyAlignment="1">
      <alignment horizontal="centerContinuous"/>
    </xf>
    <xf numFmtId="17" fontId="46" fillId="6" borderId="22" xfId="0" applyNumberFormat="1" applyFont="1" applyFill="1" applyBorder="1" applyAlignment="1">
      <alignment horizontal="right"/>
    </xf>
    <xf numFmtId="17" fontId="46" fillId="6" borderId="23" xfId="0" applyNumberFormat="1" applyFont="1" applyFill="1" applyBorder="1" applyAlignment="1">
      <alignment horizontal="right"/>
    </xf>
    <xf numFmtId="177" fontId="35" fillId="0" borderId="0" xfId="1" applyNumberFormat="1"/>
    <xf numFmtId="0" fontId="45" fillId="5" borderId="1" xfId="0" applyFont="1" applyFill="1" applyBorder="1" applyAlignment="1">
      <alignment horizontal="left" vertical="center"/>
    </xf>
    <xf numFmtId="164" fontId="45" fillId="5" borderId="1" xfId="0" applyNumberFormat="1" applyFont="1" applyFill="1" applyBorder="1" applyAlignment="1">
      <alignment vertical="center"/>
    </xf>
    <xf numFmtId="164" fontId="45" fillId="5" borderId="10" xfId="0" applyNumberFormat="1" applyFont="1" applyFill="1" applyBorder="1" applyAlignment="1">
      <alignment vertical="center"/>
    </xf>
    <xf numFmtId="165" fontId="48" fillId="5" borderId="1" xfId="0" applyNumberFormat="1" applyFont="1" applyFill="1" applyBorder="1" applyAlignment="1">
      <alignment vertical="center"/>
    </xf>
    <xf numFmtId="165" fontId="48" fillId="5" borderId="10" xfId="0" applyNumberFormat="1" applyFont="1" applyFill="1" applyBorder="1" applyAlignment="1">
      <alignment vertical="center"/>
    </xf>
    <xf numFmtId="165" fontId="48" fillId="5" borderId="15" xfId="0" applyNumberFormat="1" applyFont="1" applyFill="1" applyBorder="1" applyAlignment="1">
      <alignment vertical="center"/>
    </xf>
    <xf numFmtId="164" fontId="45" fillId="5" borderId="15" xfId="0" applyNumberFormat="1" applyFont="1" applyFill="1" applyBorder="1" applyAlignment="1">
      <alignment vertical="center"/>
    </xf>
    <xf numFmtId="171" fontId="0" fillId="0" borderId="0" xfId="0" applyNumberFormat="1" applyAlignment="1">
      <alignment horizontal="left"/>
    </xf>
    <xf numFmtId="0" fontId="29" fillId="2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9" fillId="0" borderId="0" xfId="0" applyFont="1"/>
    <xf numFmtId="171" fontId="29" fillId="0" borderId="0" xfId="0" applyNumberFormat="1" applyFont="1" applyAlignment="1">
      <alignment horizontal="left"/>
    </xf>
    <xf numFmtId="179" fontId="0" fillId="0" borderId="0" xfId="0" applyNumberFormat="1"/>
    <xf numFmtId="171" fontId="44" fillId="4" borderId="18" xfId="0" applyNumberFormat="1" applyFont="1" applyFill="1" applyBorder="1" applyAlignment="1">
      <alignment horizontal="left" wrapText="1"/>
    </xf>
    <xf numFmtId="171" fontId="44" fillId="4" borderId="19" xfId="0" applyNumberFormat="1" applyFont="1" applyFill="1" applyBorder="1" applyAlignment="1">
      <alignment horizontal="left" wrapText="1"/>
    </xf>
    <xf numFmtId="0" fontId="29" fillId="0" borderId="0" xfId="0" applyFont="1" applyAlignment="1">
      <alignment wrapText="1"/>
    </xf>
    <xf numFmtId="165" fontId="38" fillId="0" borderId="0" xfId="0" applyNumberFormat="1" applyFont="1" applyAlignment="1">
      <alignment horizontal="left"/>
    </xf>
    <xf numFmtId="0" fontId="20" fillId="0" borderId="0" xfId="0" applyFont="1"/>
    <xf numFmtId="0" fontId="20" fillId="0" borderId="0" xfId="1" applyFont="1"/>
    <xf numFmtId="0" fontId="20" fillId="0" borderId="0" xfId="0" applyFont="1" applyAlignment="1">
      <alignment horizontal="left"/>
    </xf>
    <xf numFmtId="0" fontId="20" fillId="2" borderId="0" xfId="0" applyFont="1" applyFill="1" applyAlignment="1">
      <alignment horizontal="left"/>
    </xf>
    <xf numFmtId="171" fontId="20" fillId="0" borderId="0" xfId="0" applyNumberFormat="1" applyFont="1" applyAlignment="1">
      <alignment horizontal="left"/>
    </xf>
    <xf numFmtId="173" fontId="20" fillId="0" borderId="0" xfId="0" applyNumberFormat="1" applyFont="1" applyAlignment="1">
      <alignment horizontal="left"/>
    </xf>
    <xf numFmtId="0" fontId="20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horizontal="left" vertical="center" wrapText="1"/>
    </xf>
    <xf numFmtId="15" fontId="20" fillId="0" borderId="17" xfId="0" applyNumberFormat="1" applyFont="1" applyBorder="1" applyAlignment="1">
      <alignment horizontal="left" vertical="center" wrapText="1"/>
    </xf>
    <xf numFmtId="171" fontId="20" fillId="0" borderId="17" xfId="0" applyNumberFormat="1" applyFont="1" applyBorder="1" applyAlignment="1">
      <alignment horizontal="left" vertical="center" wrapText="1"/>
    </xf>
    <xf numFmtId="0" fontId="20" fillId="0" borderId="20" xfId="0" applyFont="1" applyBorder="1" applyAlignment="1">
      <alignment vertical="center" wrapText="1"/>
    </xf>
    <xf numFmtId="0" fontId="20" fillId="0" borderId="20" xfId="0" applyFont="1" applyBorder="1" applyAlignment="1">
      <alignment horizontal="left" vertical="center" wrapText="1"/>
    </xf>
    <xf numFmtId="15" fontId="20" fillId="0" borderId="20" xfId="0" applyNumberFormat="1" applyFont="1" applyBorder="1" applyAlignment="1">
      <alignment horizontal="left" vertical="center" wrapText="1"/>
    </xf>
    <xf numFmtId="171" fontId="20" fillId="0" borderId="20" xfId="0" applyNumberFormat="1" applyFont="1" applyBorder="1" applyAlignment="1">
      <alignment horizontal="left" vertical="center" wrapText="1"/>
    </xf>
    <xf numFmtId="0" fontId="20" fillId="0" borderId="12" xfId="0" applyFont="1" applyBorder="1" applyAlignment="1">
      <alignment vertical="center" wrapText="1"/>
    </xf>
    <xf numFmtId="0" fontId="20" fillId="0" borderId="12" xfId="0" applyFont="1" applyBorder="1" applyAlignment="1">
      <alignment horizontal="left" vertical="center" wrapText="1"/>
    </xf>
    <xf numFmtId="15" fontId="20" fillId="0" borderId="12" xfId="0" applyNumberFormat="1" applyFont="1" applyBorder="1" applyAlignment="1">
      <alignment horizontal="left" vertical="center" wrapText="1"/>
    </xf>
    <xf numFmtId="171" fontId="20" fillId="0" borderId="12" xfId="0" applyNumberFormat="1" applyFont="1" applyBorder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77" fontId="20" fillId="0" borderId="0" xfId="1" applyNumberFormat="1" applyFont="1"/>
    <xf numFmtId="165" fontId="47" fillId="0" borderId="3" xfId="0" applyNumberFormat="1" applyFont="1" applyBorder="1"/>
    <xf numFmtId="165" fontId="47" fillId="0" borderId="4" xfId="0" applyNumberFormat="1" applyFont="1" applyBorder="1"/>
    <xf numFmtId="164" fontId="44" fillId="2" borderId="0" xfId="0" applyNumberFormat="1" applyFont="1" applyFill="1" applyAlignment="1">
      <alignment vertical="center"/>
    </xf>
    <xf numFmtId="17" fontId="44" fillId="4" borderId="24" xfId="0" applyNumberFormat="1" applyFont="1" applyFill="1" applyBorder="1" applyAlignment="1">
      <alignment horizontal="centerContinuous"/>
    </xf>
    <xf numFmtId="0" fontId="44" fillId="2" borderId="0" xfId="0" applyFont="1" applyFill="1" applyAlignment="1">
      <alignment horizontal="left" vertical="center"/>
    </xf>
    <xf numFmtId="164" fontId="46" fillId="2" borderId="0" xfId="0" applyNumberFormat="1" applyFont="1" applyFill="1" applyAlignment="1">
      <alignment vertical="center"/>
    </xf>
    <xf numFmtId="171" fontId="44" fillId="2" borderId="0" xfId="0" applyNumberFormat="1" applyFont="1" applyFill="1" applyAlignment="1">
      <alignment horizontal="left" vertical="center"/>
    </xf>
    <xf numFmtId="17" fontId="44" fillId="4" borderId="25" xfId="0" applyNumberFormat="1" applyFont="1" applyFill="1" applyBorder="1" applyAlignment="1">
      <alignment horizontal="right"/>
    </xf>
    <xf numFmtId="17" fontId="46" fillId="6" borderId="7" xfId="0" applyNumberFormat="1" applyFont="1" applyFill="1" applyBorder="1" applyAlignment="1">
      <alignment horizontal="centerContinuous"/>
    </xf>
    <xf numFmtId="17" fontId="46" fillId="6" borderId="25" xfId="0" applyNumberFormat="1" applyFont="1" applyFill="1" applyBorder="1" applyAlignment="1">
      <alignment horizontal="right"/>
    </xf>
    <xf numFmtId="17" fontId="44" fillId="4" borderId="26" xfId="0" applyNumberFormat="1" applyFont="1" applyFill="1" applyBorder="1" applyAlignment="1">
      <alignment horizontal="centerContinuous"/>
    </xf>
    <xf numFmtId="0" fontId="44" fillId="4" borderId="13" xfId="0" applyFont="1" applyFill="1" applyBorder="1" applyAlignment="1">
      <alignment horizontal="right"/>
    </xf>
    <xf numFmtId="0" fontId="44" fillId="4" borderId="18" xfId="0" applyFont="1" applyFill="1" applyBorder="1" applyAlignment="1">
      <alignment horizontal="right"/>
    </xf>
    <xf numFmtId="17" fontId="46" fillId="6" borderId="22" xfId="0" applyNumberFormat="1" applyFont="1" applyFill="1" applyBorder="1" applyAlignment="1">
      <alignment horizontal="right" wrapText="1"/>
    </xf>
    <xf numFmtId="0" fontId="44" fillId="4" borderId="21" xfId="0" applyFont="1" applyFill="1" applyBorder="1" applyAlignment="1">
      <alignment horizontal="right" wrapText="1"/>
    </xf>
    <xf numFmtId="0" fontId="4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17" xfId="0" applyFont="1" applyBorder="1" applyAlignment="1">
      <alignment vertical="center" wrapText="1"/>
    </xf>
    <xf numFmtId="0" fontId="20" fillId="2" borderId="0" xfId="0" applyFont="1" applyFill="1" applyAlignment="1">
      <alignment horizontal="left" wrapText="1"/>
    </xf>
    <xf numFmtId="0" fontId="44" fillId="4" borderId="11" xfId="0" applyFont="1" applyFill="1" applyBorder="1" applyAlignment="1">
      <alignment horizontal="left" wrapText="1"/>
    </xf>
    <xf numFmtId="0" fontId="44" fillId="4" borderId="18" xfId="0" applyFont="1" applyFill="1" applyBorder="1" applyAlignment="1">
      <alignment horizontal="left" wrapText="1"/>
    </xf>
  </cellXfs>
  <cellStyles count="64">
    <cellStyle name="Comma 2" xfId="26" xr:uid="{340BCAB7-1C52-4043-85CF-9FB683D2D4E7}"/>
    <cellStyle name="Comma 2 2 3" xfId="7" xr:uid="{CD4C53DC-6E57-4D1B-80C3-E9F58883906B}"/>
    <cellStyle name="Comma 2 4" xfId="29" xr:uid="{5300E930-3577-406F-AD8A-5E75CBCF1C0F}"/>
    <cellStyle name="Comma 3" xfId="32" xr:uid="{C2026485-759E-4243-988B-26BF9AA9F1CD}"/>
    <cellStyle name="Hyperlink 2" xfId="19" xr:uid="{73591838-CB02-4E7E-AD5F-94ABFD53D56C}"/>
    <cellStyle name="Normal" xfId="0" builtinId="0"/>
    <cellStyle name="Normal 10" xfId="31" xr:uid="{9846A9A4-CC0D-4B5F-A8A2-DD53B3FCFB20}"/>
    <cellStyle name="Normal 10 2" xfId="38" xr:uid="{794E344E-7746-47B4-B25C-130A0B139585}"/>
    <cellStyle name="Normal 10 2 2" xfId="42" xr:uid="{17E8F66B-3FBC-42E5-8465-F8B93503DB5B}"/>
    <cellStyle name="Normal 10 2 3" xfId="54" xr:uid="{04014EF9-4C35-402E-8A11-90A959C11E14}"/>
    <cellStyle name="Normal 11" xfId="37" xr:uid="{CCD766F8-6FAC-40E1-82EF-8CD51707E959}"/>
    <cellStyle name="Normal 11 2" xfId="43" xr:uid="{9F9E02C0-DD3F-4208-AD5C-099E3CBF090A}"/>
    <cellStyle name="Normal 11 3" xfId="55" xr:uid="{9C4AC120-D776-480C-B422-E93F684EC8DB}"/>
    <cellStyle name="Normal 12" xfId="46" xr:uid="{91022759-76DE-4F04-BBCD-ACA4FF9C6164}"/>
    <cellStyle name="Normal 12 2" xfId="48" xr:uid="{1F39AA27-08E4-4524-A6F9-FF6F792B9CE9}"/>
    <cellStyle name="Normal 12 2 2" xfId="50" xr:uid="{E524FE74-28F3-4F5A-86D9-81E68F8B5149}"/>
    <cellStyle name="Normal 13" xfId="49" xr:uid="{49AA4157-0CDF-4CB0-9EB9-86BEFA99D7BC}"/>
    <cellStyle name="Normal 13 2" xfId="57" xr:uid="{2E3AA463-D198-4045-ACE6-9F49126C51CB}"/>
    <cellStyle name="Normal 14" xfId="56" xr:uid="{1BEC63D8-2101-43F5-BB3C-CF0D1B65AA57}"/>
    <cellStyle name="Normal 14 2" xfId="62" xr:uid="{13BA0932-05EE-4FF7-A43C-19727D1852E6}"/>
    <cellStyle name="Normal 2" xfId="1" xr:uid="{5FFD7DA2-B4CA-4F45-B3BB-684E43DF46B4}"/>
    <cellStyle name="Normal 2 10" xfId="52" xr:uid="{DF873B1F-AD4A-4E11-AE6A-6455CB3CC4D9}"/>
    <cellStyle name="Normal 2 11" xfId="58" xr:uid="{EE3BC1AD-4D09-46C1-AEA0-4F96809AAF8A}"/>
    <cellStyle name="Normal 2 12" xfId="59" xr:uid="{98802814-5EC6-4BBA-A07D-9FEC13EE8C97}"/>
    <cellStyle name="Normal 2 13" xfId="60" xr:uid="{02DF20C5-9072-4FBD-BA57-480549B92F3B}"/>
    <cellStyle name="Normal 2 14" xfId="63" xr:uid="{EAB8994D-393C-4439-BBC1-B89B5E86B294}"/>
    <cellStyle name="Normal 2 2" xfId="3" xr:uid="{BCDC47CC-A375-45B4-9DEF-987640717E68}"/>
    <cellStyle name="Normal 2 2 2" xfId="2" xr:uid="{F712F829-4C22-4872-816A-FD864CF24E08}"/>
    <cellStyle name="Normal 2 2 2 3" xfId="6" xr:uid="{B9B85A37-ECD7-4104-90DE-81BFE37DF688}"/>
    <cellStyle name="Normal 2 2 2 4 2 2" xfId="33" xr:uid="{6A373BD1-B6BE-498E-BAE4-FBEA2F70694F}"/>
    <cellStyle name="Normal 2 2 2 5 2 6 3 3" xfId="11" xr:uid="{3FE3AD7D-6966-492A-9B54-FC526577EF3B}"/>
    <cellStyle name="Normal 2 2 3" xfId="5" xr:uid="{690DDEF1-87F7-4AD2-94FC-FFC802094E7F}"/>
    <cellStyle name="Normal 2 2 4" xfId="36" xr:uid="{D1476E63-2CE8-40E8-AB9A-F57A173301D1}"/>
    <cellStyle name="Normal 2 3" xfId="24" xr:uid="{A83D1D25-C100-4E65-8781-889027D092F2}"/>
    <cellStyle name="Normal 2 3 2" xfId="18" xr:uid="{F3B59660-B6C3-49BB-8D8E-D35C54849C8E}"/>
    <cellStyle name="Normal 2 3 2 2 2 2" xfId="4" xr:uid="{39682E9B-A3A4-4698-81EA-BA509DADBC67}"/>
    <cellStyle name="Normal 2 3 2 2 2 2 2 3 2 2 3 3" xfId="12" xr:uid="{C0B70856-6EE6-4662-AB1F-7CFA2C9E42CC}"/>
    <cellStyle name="Normal 2 3 2 2 2 2 2 5 2 6" xfId="15" xr:uid="{A67DAFCF-1E27-47BA-8869-3C2127C97228}"/>
    <cellStyle name="Normal 2 3 3" xfId="8" xr:uid="{48BCF093-F5A3-424A-964D-5789EE53E9FF}"/>
    <cellStyle name="Normal 2 3 4" xfId="34" xr:uid="{CAC7985B-4EC1-4966-89C1-5946A83AE0B2}"/>
    <cellStyle name="Normal 2 3 4 2" xfId="40" xr:uid="{FD8D3D9A-06AE-43E8-AFAF-02FBA16FA043}"/>
    <cellStyle name="Normal 2 3 4 3" xfId="53" xr:uid="{1BAB9ECF-F82F-4E8F-8CBF-D5A252838096}"/>
    <cellStyle name="Normal 2 3 4 3 2" xfId="61" xr:uid="{0BCD0B86-C110-479F-BA66-ADDE2792F792}"/>
    <cellStyle name="Normal 2 4" xfId="25" xr:uid="{DBC5F30D-E993-4EF0-BBB2-45323B11CCE3}"/>
    <cellStyle name="Normal 2 5" xfId="16" xr:uid="{B5649E52-CD7D-4C59-BF3C-4E92D8C9AD1F}"/>
    <cellStyle name="Normal 2 6" xfId="28" xr:uid="{B5C98D96-0F95-4104-8E32-E1799F7C3F73}"/>
    <cellStyle name="Normal 2 6 2" xfId="47" xr:uid="{E1FB0EB5-1D97-4EAA-97DB-0AFFEC2B7ABE}"/>
    <cellStyle name="Normal 2 7" xfId="39" xr:uid="{BC0FBD1F-0A10-4BDA-969C-E49A29F94390}"/>
    <cellStyle name="Normal 2 7 2" xfId="45" xr:uid="{8FA15536-6916-4931-861D-85F282CB4D2D}"/>
    <cellStyle name="Normal 2 8" xfId="41" xr:uid="{B98D8689-98B1-4F93-BB4E-7B79282C1FA4}"/>
    <cellStyle name="Normal 2 9" xfId="44" xr:uid="{C81547E0-CF98-46F2-B8C0-3148F70EF7CB}"/>
    <cellStyle name="Normal 3" xfId="13" xr:uid="{E474FC0D-3547-448B-8F6E-FA1E9C5ACDB8}"/>
    <cellStyle name="Normal 3 2" xfId="9" xr:uid="{FFE2207B-0E3C-450F-9DDB-935C311F5BBD}"/>
    <cellStyle name="Normal 3 3" xfId="35" xr:uid="{9C5BF01C-526E-4C5D-86AD-5FF0B8D28158}"/>
    <cellStyle name="Normal 3 7" xfId="22" xr:uid="{A23D756A-2139-4476-8A66-285820AEC673}"/>
    <cellStyle name="Normal 4" xfId="14" xr:uid="{F01157FC-C026-4C67-BC3A-5E4591A5EFD2}"/>
    <cellStyle name="Normal 5" xfId="20" xr:uid="{C0DF1328-784F-495F-8C03-FA6FC6379141}"/>
    <cellStyle name="Normal 6" xfId="21" xr:uid="{1F64F861-0703-475F-9037-13EEB8B19A2C}"/>
    <cellStyle name="Normal 6 2 2" xfId="17" xr:uid="{16FE6704-84D3-48F9-86A0-97AC3FF051E3}"/>
    <cellStyle name="Normal 7" xfId="23" xr:uid="{1CB8B0DB-76B2-4EB2-B250-0C5528034FB3}"/>
    <cellStyle name="Normal 7 2" xfId="51" xr:uid="{2F276B63-A4A4-4AD6-B25E-65E5F418C08A}"/>
    <cellStyle name="Normal 8" xfId="27" xr:uid="{4A8C9003-8587-4A4D-A82A-DF195157805E}"/>
    <cellStyle name="Normal 9" xfId="30" xr:uid="{184AC3AE-BDE6-4C2A-AF79-9A2C62165789}"/>
    <cellStyle name="Percent 2" xfId="10" xr:uid="{EF2255C7-77C3-4CB0-9C94-46F3BC88C21B}"/>
  </cellStyles>
  <dxfs count="0"/>
  <tableStyles count="0" defaultTableStyle="TableStyleMedium2" defaultPivotStyle="PivotStyleLight16"/>
  <colors>
    <mruColors>
      <color rgb="FF00338D"/>
      <color rgb="FFFFFFFF"/>
      <color rgb="FFE5E5E5"/>
      <color rgb="FFFFB9B9"/>
      <color rgb="FF00B8F5"/>
      <color rgb="FF1E49E2"/>
      <color rgb="FF1E49FF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2D12-5DB8-4F2A-9B86-5ED22A2ED449}">
  <sheetPr codeName="Sheet60"/>
  <dimension ref="A1:Q16"/>
  <sheetViews>
    <sheetView showGridLine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8.83203125" defaultRowHeight="11"/>
  <cols>
    <col min="1" max="1" width="3.5" style="61" customWidth="1"/>
    <col min="2" max="2" width="1.5" style="62" customWidth="1"/>
    <col min="3" max="3" width="13.1640625" style="63" bestFit="1" customWidth="1"/>
    <col min="4" max="4" width="14.83203125" style="62" customWidth="1"/>
    <col min="5" max="5" width="12.5" style="62" bestFit="1" customWidth="1"/>
    <col min="6" max="6" width="12.5" style="64" bestFit="1" customWidth="1"/>
    <col min="7" max="7" width="8.1640625" style="64" bestFit="1" customWidth="1"/>
    <col min="8" max="8" width="5.5" style="64" bestFit="1" customWidth="1"/>
    <col min="9" max="9" width="7.5" style="64" bestFit="1" customWidth="1"/>
    <col min="10" max="10" width="7" style="64" bestFit="1" customWidth="1"/>
    <col min="11" max="11" width="13.83203125" style="64" customWidth="1"/>
    <col min="12" max="12" width="11.5" style="64" bestFit="1" customWidth="1"/>
    <col min="13" max="13" width="24" style="64" bestFit="1" customWidth="1"/>
    <col min="14" max="14" width="10.5" style="64" bestFit="1" customWidth="1"/>
    <col min="15" max="15" width="11.5" style="64" bestFit="1" customWidth="1"/>
    <col min="16" max="16" width="8" style="64" bestFit="1" customWidth="1"/>
    <col min="17" max="17" width="26" style="63" bestFit="1" customWidth="1"/>
    <col min="18" max="16384" width="8.83203125" style="63"/>
  </cols>
  <sheetData>
    <row r="1" spans="1:17" customFormat="1" ht="23">
      <c r="A1" s="28"/>
      <c r="B1" s="29" t="s">
        <v>0</v>
      </c>
      <c r="C1" s="33"/>
      <c r="D1" s="33"/>
      <c r="E1" s="33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7" customFormat="1" ht="12" customHeight="1">
      <c r="A2" s="28"/>
      <c r="B2" s="30" t="str">
        <f>C7</f>
        <v>Lease summary per agreements</v>
      </c>
      <c r="C2" s="33"/>
      <c r="D2" s="33"/>
      <c r="E2" s="33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1:17" customFormat="1" ht="12" customHeight="1">
      <c r="A3" s="28"/>
      <c r="B3" s="31" t="s">
        <v>19</v>
      </c>
      <c r="C3" s="33"/>
      <c r="D3" s="33"/>
      <c r="E3" s="33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</row>
    <row r="4" spans="1:17" customFormat="1" ht="12" customHeight="1">
      <c r="A4" s="28"/>
      <c r="B4" s="32" t="s">
        <v>1</v>
      </c>
      <c r="C4" s="33"/>
      <c r="D4" s="33"/>
      <c r="E4" s="33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6" spans="1:17">
      <c r="A6" s="73"/>
      <c r="B6" s="72"/>
      <c r="C6" s="70"/>
      <c r="D6" s="72"/>
      <c r="E6" s="72"/>
      <c r="F6" s="74"/>
      <c r="G6" s="74"/>
      <c r="H6" s="74"/>
      <c r="I6" s="74"/>
      <c r="J6" s="74"/>
      <c r="K6" s="74"/>
      <c r="L6" s="74"/>
      <c r="M6" s="75"/>
      <c r="N6" s="75"/>
      <c r="O6" s="74"/>
      <c r="P6" s="74"/>
    </row>
    <row r="7" spans="1:17" ht="19.5" customHeight="1">
      <c r="A7" s="73"/>
      <c r="B7" s="72"/>
      <c r="C7" s="94" t="s">
        <v>127</v>
      </c>
      <c r="D7" s="94"/>
      <c r="E7" s="94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</row>
    <row r="8" spans="1:17" s="68" customFormat="1" ht="24">
      <c r="A8" s="108"/>
      <c r="B8" s="88"/>
      <c r="C8" s="109" t="s">
        <v>21</v>
      </c>
      <c r="D8" s="110" t="s">
        <v>22</v>
      </c>
      <c r="E8" s="110" t="s">
        <v>23</v>
      </c>
      <c r="F8" s="110" t="s">
        <v>24</v>
      </c>
      <c r="G8" s="66" t="s">
        <v>25</v>
      </c>
      <c r="H8" s="67" t="s">
        <v>26</v>
      </c>
      <c r="I8" s="67" t="s">
        <v>27</v>
      </c>
      <c r="J8" s="67" t="s">
        <v>28</v>
      </c>
      <c r="K8" s="67" t="s">
        <v>29</v>
      </c>
      <c r="L8" s="67" t="s">
        <v>30</v>
      </c>
      <c r="M8" s="67" t="s">
        <v>31</v>
      </c>
      <c r="N8" s="67" t="s">
        <v>32</v>
      </c>
      <c r="O8" s="67" t="s">
        <v>33</v>
      </c>
      <c r="P8" s="67" t="s">
        <v>34</v>
      </c>
      <c r="Q8" s="67" t="s">
        <v>20</v>
      </c>
    </row>
    <row r="9" spans="1:17" ht="108">
      <c r="A9" s="73"/>
      <c r="B9" s="72"/>
      <c r="C9" s="76" t="s">
        <v>36</v>
      </c>
      <c r="D9" s="77" t="s">
        <v>37</v>
      </c>
      <c r="E9" s="77" t="s">
        <v>38</v>
      </c>
      <c r="F9" s="77" t="s">
        <v>39</v>
      </c>
      <c r="G9" s="78">
        <v>42412</v>
      </c>
      <c r="H9" s="77" t="s">
        <v>40</v>
      </c>
      <c r="I9" s="79">
        <v>42583</v>
      </c>
      <c r="J9" s="79">
        <v>46234</v>
      </c>
      <c r="K9" s="79"/>
      <c r="L9" s="77" t="s">
        <v>41</v>
      </c>
      <c r="M9" s="77" t="s">
        <v>42</v>
      </c>
      <c r="N9" s="77" t="s">
        <v>43</v>
      </c>
      <c r="O9" s="77" t="s">
        <v>44</v>
      </c>
      <c r="P9" s="77"/>
      <c r="Q9" s="76" t="s">
        <v>35</v>
      </c>
    </row>
    <row r="10" spans="1:17" ht="36">
      <c r="A10" s="73"/>
      <c r="B10" s="72"/>
      <c r="C10" s="107" t="s">
        <v>129</v>
      </c>
      <c r="D10" s="81" t="s">
        <v>46</v>
      </c>
      <c r="E10" s="77" t="s">
        <v>38</v>
      </c>
      <c r="F10" s="77" t="s">
        <v>39</v>
      </c>
      <c r="G10" s="82">
        <v>43845</v>
      </c>
      <c r="H10" s="81" t="s">
        <v>47</v>
      </c>
      <c r="I10" s="83">
        <v>44044</v>
      </c>
      <c r="J10" s="83">
        <v>46234</v>
      </c>
      <c r="K10" s="83"/>
      <c r="L10" s="81" t="s">
        <v>48</v>
      </c>
      <c r="M10" s="81" t="s">
        <v>49</v>
      </c>
      <c r="N10" s="77" t="s">
        <v>50</v>
      </c>
      <c r="O10" s="81"/>
      <c r="P10" s="81"/>
      <c r="Q10" s="80" t="s">
        <v>45</v>
      </c>
    </row>
    <row r="11" spans="1:17" ht="37" thickBot="1">
      <c r="A11" s="73"/>
      <c r="B11" s="72"/>
      <c r="C11" s="84" t="s">
        <v>52</v>
      </c>
      <c r="D11" s="85" t="s">
        <v>53</v>
      </c>
      <c r="E11" s="85" t="s">
        <v>54</v>
      </c>
      <c r="F11" s="85" t="s">
        <v>39</v>
      </c>
      <c r="G11" s="86">
        <v>45096</v>
      </c>
      <c r="H11" s="85" t="s">
        <v>55</v>
      </c>
      <c r="I11" s="87">
        <v>45292</v>
      </c>
      <c r="J11" s="87">
        <v>46233</v>
      </c>
      <c r="K11" s="87">
        <v>45139</v>
      </c>
      <c r="L11" s="85">
        <v>2083</v>
      </c>
      <c r="M11" s="85" t="s">
        <v>9</v>
      </c>
      <c r="N11" s="106" t="s">
        <v>10</v>
      </c>
      <c r="O11" s="85" t="s">
        <v>56</v>
      </c>
      <c r="P11" s="85" t="s">
        <v>57</v>
      </c>
      <c r="Q11" s="105" t="s">
        <v>51</v>
      </c>
    </row>
    <row r="12" spans="1:17">
      <c r="A12" s="73"/>
      <c r="B12" s="72"/>
      <c r="C12" s="70"/>
      <c r="D12" s="72"/>
      <c r="E12" s="72"/>
      <c r="F12" s="74"/>
      <c r="G12" s="74"/>
      <c r="H12" s="74"/>
      <c r="I12" s="74"/>
      <c r="J12" s="74"/>
      <c r="K12" s="74"/>
      <c r="L12" s="74"/>
      <c r="M12" s="75"/>
      <c r="N12" s="75"/>
      <c r="O12" s="75"/>
      <c r="P12" s="75"/>
    </row>
    <row r="13" spans="1:17">
      <c r="A13" s="73"/>
      <c r="B13" s="72"/>
      <c r="C13" s="70"/>
      <c r="D13" s="72"/>
      <c r="E13" s="72"/>
      <c r="F13" s="74"/>
      <c r="G13" s="74"/>
      <c r="H13" s="74"/>
      <c r="I13" s="74"/>
      <c r="J13" s="74"/>
      <c r="K13" s="75"/>
      <c r="L13" s="75"/>
      <c r="M13" s="75"/>
      <c r="N13" s="75"/>
      <c r="O13" s="69"/>
      <c r="P13" s="74"/>
    </row>
    <row r="14" spans="1:17">
      <c r="A14" s="73"/>
      <c r="B14" s="72"/>
      <c r="C14" s="70"/>
      <c r="D14" s="72"/>
      <c r="E14" s="72"/>
      <c r="F14" s="74"/>
      <c r="G14" s="74"/>
      <c r="H14" s="74"/>
      <c r="I14" s="74"/>
      <c r="J14" s="74"/>
      <c r="K14" s="75"/>
      <c r="L14" s="75"/>
      <c r="M14" s="75"/>
      <c r="N14" s="74"/>
      <c r="O14" s="74"/>
      <c r="P14" s="74"/>
    </row>
    <row r="15" spans="1:17">
      <c r="A15" s="73"/>
      <c r="B15" s="72"/>
      <c r="C15" s="70"/>
      <c r="D15" s="72"/>
      <c r="E15" s="72"/>
      <c r="F15" s="74"/>
      <c r="G15" s="74"/>
      <c r="H15" s="74"/>
      <c r="I15" s="74"/>
      <c r="J15" s="74"/>
      <c r="K15" s="75"/>
      <c r="L15" s="75"/>
      <c r="M15" s="75"/>
      <c r="N15" s="74"/>
      <c r="O15" s="74"/>
      <c r="P15" s="74"/>
    </row>
    <row r="16" spans="1:17">
      <c r="A16" s="73"/>
      <c r="B16" s="72"/>
      <c r="C16" s="70"/>
      <c r="D16" s="72"/>
      <c r="E16" s="72"/>
      <c r="F16" s="74"/>
      <c r="G16" s="74"/>
      <c r="H16" s="74"/>
      <c r="I16" s="74"/>
      <c r="J16" s="74"/>
      <c r="K16" s="74"/>
      <c r="L16" s="74"/>
      <c r="M16" s="75"/>
      <c r="N16" s="74"/>
      <c r="O16" s="74"/>
      <c r="P16" s="7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795B-1208-4EAB-80B6-9DDA40A3C1BE}">
  <sheetPr codeName="Sheet76"/>
  <dimension ref="A1:DG66"/>
  <sheetViews>
    <sheetView showGridLines="0" tabSelected="1" zoomScaleNormal="100" workbookViewId="0">
      <pane xSplit="5" ySplit="9" topLeftCell="AV10" activePane="bottomRight" state="frozen"/>
      <selection pane="topRight"/>
      <selection pane="bottomLeft"/>
      <selection pane="bottomRight" activeCell="AI8" sqref="F8:AI8"/>
    </sheetView>
  </sheetViews>
  <sheetFormatPr baseColWidth="10" defaultColWidth="8.5" defaultRowHeight="15" outlineLevelRow="1" outlineLevelCol="2"/>
  <cols>
    <col min="1" max="1" width="3.5" style="4" customWidth="1"/>
    <col min="2" max="2" width="1.5" style="5" customWidth="1"/>
    <col min="3" max="3" width="36.1640625" style="1" bestFit="1" customWidth="1"/>
    <col min="4" max="5" width="9.5" style="5" hidden="1" customWidth="1" outlineLevel="2"/>
    <col min="6" max="21" width="5.83203125" style="2" hidden="1" customWidth="1" outlineLevel="1"/>
    <col min="22" max="22" width="6.5" style="2" hidden="1" customWidth="1" outlineLevel="1"/>
    <col min="23" max="23" width="5.83203125" style="2" hidden="1" customWidth="1" outlineLevel="1"/>
    <col min="24" max="24" width="6.5" style="2" hidden="1" customWidth="1" outlineLevel="1"/>
    <col min="25" max="26" width="5.83203125" style="2" hidden="1" customWidth="1" outlineLevel="1"/>
    <col min="27" max="28" width="6.5" style="2" hidden="1" customWidth="1" outlineLevel="1"/>
    <col min="29" max="31" width="5.83203125" style="2" hidden="1" customWidth="1" outlineLevel="1"/>
    <col min="32" max="33" width="6.5" style="2" hidden="1" customWidth="1" outlineLevel="1"/>
    <col min="34" max="34" width="5.83203125" style="2" hidden="1" customWidth="1" outlineLevel="1"/>
    <col min="35" max="35" width="6.5" style="2" hidden="1" customWidth="1" outlineLevel="1"/>
    <col min="36" max="36" width="5.83203125" style="2" hidden="1" customWidth="1" outlineLevel="1"/>
    <col min="37" max="40" width="6.5" style="2" hidden="1" customWidth="1" outlineLevel="1"/>
    <col min="41" max="43" width="5.83203125" style="2" hidden="1" customWidth="1" outlineLevel="1"/>
    <col min="44" max="45" width="6.5" style="2" hidden="1" customWidth="1" outlineLevel="1"/>
    <col min="46" max="46" width="5.83203125" style="2" hidden="1" customWidth="1" outlineLevel="1"/>
    <col min="47" max="47" width="6.5" style="2" hidden="1" customWidth="1" outlineLevel="1"/>
    <col min="48" max="48" width="6.5" style="2" bestFit="1" customWidth="1" collapsed="1"/>
    <col min="49" max="52" width="7.1640625" style="2" bestFit="1" customWidth="1"/>
    <col min="53" max="53" width="1.5" customWidth="1"/>
    <col min="54" max="95" width="6.5" style="3" hidden="1" customWidth="1" outlineLevel="1"/>
    <col min="96" max="96" width="6.5" style="3" bestFit="1" customWidth="1" collapsed="1"/>
    <col min="97" max="100" width="6.5" style="3" bestFit="1" customWidth="1"/>
    <col min="111" max="111" width="1.5" customWidth="1"/>
    <col min="112" max="16384" width="8.5" style="2"/>
  </cols>
  <sheetData>
    <row r="1" spans="1:111" ht="23">
      <c r="B1" s="6" t="s">
        <v>0</v>
      </c>
    </row>
    <row r="2" spans="1:111">
      <c r="B2" s="7" t="str">
        <f>C7</f>
        <v>Revenue | Professional services</v>
      </c>
    </row>
    <row r="3" spans="1:111">
      <c r="B3" s="8" t="s">
        <v>13</v>
      </c>
    </row>
    <row r="4" spans="1:111">
      <c r="B4" s="9" t="s">
        <v>1</v>
      </c>
    </row>
    <row r="6" spans="1:111">
      <c r="C6" s="71"/>
      <c r="AV6" s="52"/>
      <c r="AW6" s="52"/>
      <c r="AX6" s="89"/>
      <c r="AY6" s="89"/>
      <c r="AZ6" s="89"/>
    </row>
    <row r="7" spans="1:111" s="1" customFormat="1" ht="19.5" customHeight="1">
      <c r="A7" s="4"/>
      <c r="B7" s="5"/>
      <c r="C7" s="94" t="s">
        <v>72</v>
      </c>
      <c r="D7" s="94"/>
      <c r="E7" s="94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DG7"/>
    </row>
    <row r="8" spans="1:111" s="1" customFormat="1">
      <c r="A8" s="4"/>
      <c r="B8" s="5"/>
      <c r="C8" s="11"/>
      <c r="D8" s="17"/>
      <c r="E8" s="17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4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4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4"/>
      <c r="AP8" s="41"/>
      <c r="AQ8" s="41"/>
      <c r="AR8" s="41"/>
      <c r="AS8" s="41"/>
      <c r="AT8" s="41"/>
      <c r="AU8" s="48"/>
      <c r="AV8" s="100"/>
      <c r="AW8" s="93"/>
      <c r="AX8" s="93"/>
      <c r="AY8" s="93"/>
      <c r="AZ8" s="93"/>
      <c r="BA8"/>
      <c r="BB8" s="20" t="s">
        <v>73</v>
      </c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19" t="str">
        <f>BB8</f>
        <v>% of revenue (Professional services)</v>
      </c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19" t="str">
        <f>BN8</f>
        <v>% of revenue (Professional services)</v>
      </c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19" t="s">
        <v>58</v>
      </c>
      <c r="CM8" s="20"/>
      <c r="CN8" s="20"/>
      <c r="CO8" s="20"/>
      <c r="CP8" s="20"/>
      <c r="CQ8" s="98"/>
      <c r="CR8" s="49" t="str">
        <f>BZ8</f>
        <v>% of revenue (Professional services)</v>
      </c>
      <c r="CS8" s="49"/>
      <c r="CT8" s="49"/>
      <c r="CU8" s="49"/>
      <c r="CV8" s="49"/>
      <c r="DG8"/>
    </row>
    <row r="9" spans="1:111" s="1" customFormat="1" ht="25">
      <c r="A9" s="4"/>
      <c r="B9" s="5"/>
      <c r="C9" s="11" t="s">
        <v>2</v>
      </c>
      <c r="D9" s="17" t="s">
        <v>59</v>
      </c>
      <c r="E9" s="17" t="s">
        <v>7</v>
      </c>
      <c r="F9" s="10">
        <v>44227</v>
      </c>
      <c r="G9" s="10">
        <f t="shared" ref="G9:AU9" si="0">EOMONTH(F9,1)</f>
        <v>44255</v>
      </c>
      <c r="H9" s="10">
        <f t="shared" si="0"/>
        <v>44286</v>
      </c>
      <c r="I9" s="10">
        <f t="shared" si="0"/>
        <v>44316</v>
      </c>
      <c r="J9" s="10">
        <f t="shared" si="0"/>
        <v>44347</v>
      </c>
      <c r="K9" s="10">
        <f t="shared" si="0"/>
        <v>44377</v>
      </c>
      <c r="L9" s="10">
        <f t="shared" si="0"/>
        <v>44408</v>
      </c>
      <c r="M9" s="10">
        <f t="shared" si="0"/>
        <v>44439</v>
      </c>
      <c r="N9" s="10">
        <f t="shared" si="0"/>
        <v>44469</v>
      </c>
      <c r="O9" s="10">
        <f t="shared" si="0"/>
        <v>44500</v>
      </c>
      <c r="P9" s="10">
        <f t="shared" si="0"/>
        <v>44530</v>
      </c>
      <c r="Q9" s="18">
        <f t="shared" si="0"/>
        <v>44561</v>
      </c>
      <c r="R9" s="10">
        <f t="shared" si="0"/>
        <v>44592</v>
      </c>
      <c r="S9" s="10">
        <f t="shared" si="0"/>
        <v>44620</v>
      </c>
      <c r="T9" s="10">
        <f t="shared" si="0"/>
        <v>44651</v>
      </c>
      <c r="U9" s="10">
        <f t="shared" si="0"/>
        <v>44681</v>
      </c>
      <c r="V9" s="10">
        <f t="shared" si="0"/>
        <v>44712</v>
      </c>
      <c r="W9" s="10">
        <f t="shared" si="0"/>
        <v>44742</v>
      </c>
      <c r="X9" s="10">
        <f t="shared" si="0"/>
        <v>44773</v>
      </c>
      <c r="Y9" s="10">
        <f t="shared" si="0"/>
        <v>44804</v>
      </c>
      <c r="Z9" s="10">
        <f t="shared" si="0"/>
        <v>44834</v>
      </c>
      <c r="AA9" s="10">
        <f t="shared" si="0"/>
        <v>44865</v>
      </c>
      <c r="AB9" s="10">
        <f t="shared" si="0"/>
        <v>44895</v>
      </c>
      <c r="AC9" s="18">
        <f t="shared" si="0"/>
        <v>44926</v>
      </c>
      <c r="AD9" s="10">
        <f t="shared" si="0"/>
        <v>44957</v>
      </c>
      <c r="AE9" s="10">
        <f t="shared" si="0"/>
        <v>44985</v>
      </c>
      <c r="AF9" s="10">
        <f t="shared" si="0"/>
        <v>45016</v>
      </c>
      <c r="AG9" s="10">
        <f t="shared" si="0"/>
        <v>45046</v>
      </c>
      <c r="AH9" s="10">
        <f t="shared" si="0"/>
        <v>45077</v>
      </c>
      <c r="AI9" s="10">
        <f t="shared" si="0"/>
        <v>45107</v>
      </c>
      <c r="AJ9" s="10">
        <f t="shared" si="0"/>
        <v>45138</v>
      </c>
      <c r="AK9" s="10">
        <f t="shared" si="0"/>
        <v>45169</v>
      </c>
      <c r="AL9" s="10">
        <f t="shared" si="0"/>
        <v>45199</v>
      </c>
      <c r="AM9" s="10">
        <f t="shared" si="0"/>
        <v>45230</v>
      </c>
      <c r="AN9" s="10">
        <f t="shared" si="0"/>
        <v>45260</v>
      </c>
      <c r="AO9" s="18">
        <f t="shared" si="0"/>
        <v>45291</v>
      </c>
      <c r="AP9" s="10">
        <f t="shared" si="0"/>
        <v>45322</v>
      </c>
      <c r="AQ9" s="10">
        <f t="shared" si="0"/>
        <v>45351</v>
      </c>
      <c r="AR9" s="10">
        <f t="shared" si="0"/>
        <v>45382</v>
      </c>
      <c r="AS9" s="10">
        <f t="shared" si="0"/>
        <v>45412</v>
      </c>
      <c r="AT9" s="10">
        <f t="shared" si="0"/>
        <v>45443</v>
      </c>
      <c r="AU9" s="97">
        <f t="shared" si="0"/>
        <v>45473</v>
      </c>
      <c r="AV9" s="101" t="s">
        <v>3</v>
      </c>
      <c r="AW9" s="101" t="s">
        <v>4</v>
      </c>
      <c r="AX9" s="102" t="s">
        <v>5</v>
      </c>
      <c r="AY9" s="104" t="s">
        <v>6</v>
      </c>
      <c r="AZ9" s="104" t="s">
        <v>128</v>
      </c>
      <c r="BA9"/>
      <c r="BB9" s="21">
        <v>44227</v>
      </c>
      <c r="BC9" s="21">
        <f t="shared" ref="BC9:CQ9" si="1">EOMONTH(BB9,1)</f>
        <v>44255</v>
      </c>
      <c r="BD9" s="21">
        <f t="shared" si="1"/>
        <v>44286</v>
      </c>
      <c r="BE9" s="21">
        <f t="shared" si="1"/>
        <v>44316</v>
      </c>
      <c r="BF9" s="21">
        <f t="shared" si="1"/>
        <v>44347</v>
      </c>
      <c r="BG9" s="21">
        <f t="shared" si="1"/>
        <v>44377</v>
      </c>
      <c r="BH9" s="21">
        <f t="shared" si="1"/>
        <v>44408</v>
      </c>
      <c r="BI9" s="21">
        <f t="shared" si="1"/>
        <v>44439</v>
      </c>
      <c r="BJ9" s="21">
        <f t="shared" si="1"/>
        <v>44469</v>
      </c>
      <c r="BK9" s="21">
        <f t="shared" si="1"/>
        <v>44500</v>
      </c>
      <c r="BL9" s="21">
        <f t="shared" si="1"/>
        <v>44530</v>
      </c>
      <c r="BM9" s="22">
        <f t="shared" si="1"/>
        <v>44561</v>
      </c>
      <c r="BN9" s="21">
        <f t="shared" si="1"/>
        <v>44592</v>
      </c>
      <c r="BO9" s="21">
        <f t="shared" si="1"/>
        <v>44620</v>
      </c>
      <c r="BP9" s="21">
        <f t="shared" si="1"/>
        <v>44651</v>
      </c>
      <c r="BQ9" s="21">
        <f t="shared" si="1"/>
        <v>44681</v>
      </c>
      <c r="BR9" s="21">
        <f t="shared" si="1"/>
        <v>44712</v>
      </c>
      <c r="BS9" s="21">
        <f t="shared" si="1"/>
        <v>44742</v>
      </c>
      <c r="BT9" s="21">
        <f t="shared" si="1"/>
        <v>44773</v>
      </c>
      <c r="BU9" s="21">
        <f t="shared" si="1"/>
        <v>44804</v>
      </c>
      <c r="BV9" s="21">
        <f t="shared" si="1"/>
        <v>44834</v>
      </c>
      <c r="BW9" s="21">
        <f t="shared" si="1"/>
        <v>44865</v>
      </c>
      <c r="BX9" s="21">
        <f t="shared" si="1"/>
        <v>44895</v>
      </c>
      <c r="BY9" s="22">
        <f t="shared" si="1"/>
        <v>44926</v>
      </c>
      <c r="BZ9" s="21">
        <f t="shared" si="1"/>
        <v>44957</v>
      </c>
      <c r="CA9" s="21">
        <f t="shared" si="1"/>
        <v>44985</v>
      </c>
      <c r="CB9" s="21">
        <f t="shared" si="1"/>
        <v>45016</v>
      </c>
      <c r="CC9" s="21">
        <f t="shared" si="1"/>
        <v>45046</v>
      </c>
      <c r="CD9" s="21">
        <f t="shared" si="1"/>
        <v>45077</v>
      </c>
      <c r="CE9" s="21">
        <f t="shared" si="1"/>
        <v>45107</v>
      </c>
      <c r="CF9" s="21">
        <f t="shared" si="1"/>
        <v>45138</v>
      </c>
      <c r="CG9" s="21">
        <f t="shared" si="1"/>
        <v>45169</v>
      </c>
      <c r="CH9" s="21">
        <f t="shared" si="1"/>
        <v>45199</v>
      </c>
      <c r="CI9" s="21">
        <f t="shared" si="1"/>
        <v>45230</v>
      </c>
      <c r="CJ9" s="21">
        <f t="shared" si="1"/>
        <v>45260</v>
      </c>
      <c r="CK9" s="22">
        <f t="shared" si="1"/>
        <v>45291</v>
      </c>
      <c r="CL9" s="21">
        <f t="shared" si="1"/>
        <v>45322</v>
      </c>
      <c r="CM9" s="21">
        <f t="shared" si="1"/>
        <v>45351</v>
      </c>
      <c r="CN9" s="21">
        <f t="shared" si="1"/>
        <v>45382</v>
      </c>
      <c r="CO9" s="21">
        <f t="shared" si="1"/>
        <v>45412</v>
      </c>
      <c r="CP9" s="21">
        <f t="shared" si="1"/>
        <v>45443</v>
      </c>
      <c r="CQ9" s="99">
        <f t="shared" si="1"/>
        <v>45473</v>
      </c>
      <c r="CR9" s="34" t="s">
        <v>3</v>
      </c>
      <c r="CS9" s="51" t="s">
        <v>4</v>
      </c>
      <c r="CT9" s="50" t="s">
        <v>5</v>
      </c>
      <c r="CU9" s="103" t="s">
        <v>6</v>
      </c>
      <c r="CV9" s="103" t="s">
        <v>128</v>
      </c>
      <c r="DG9"/>
    </row>
    <row r="10" spans="1:111" ht="12" customHeight="1" outlineLevel="1">
      <c r="C10" s="13" t="s">
        <v>60</v>
      </c>
      <c r="D10" s="12" t="s">
        <v>61</v>
      </c>
      <c r="E10" s="12" t="s">
        <v>62</v>
      </c>
      <c r="F10" s="35">
        <v>10</v>
      </c>
      <c r="G10" s="35">
        <v>10</v>
      </c>
      <c r="H10" s="35">
        <v>10</v>
      </c>
      <c r="I10" s="35">
        <v>10</v>
      </c>
      <c r="J10" s="35">
        <v>10</v>
      </c>
      <c r="K10" s="35">
        <v>10</v>
      </c>
      <c r="L10" s="35">
        <v>10</v>
      </c>
      <c r="M10" s="35">
        <v>10</v>
      </c>
      <c r="N10" s="35">
        <v>10</v>
      </c>
      <c r="O10" s="35">
        <v>10</v>
      </c>
      <c r="P10" s="35">
        <v>10</v>
      </c>
      <c r="Q10" s="36">
        <v>10</v>
      </c>
      <c r="R10" s="35">
        <v>10</v>
      </c>
      <c r="S10" s="35">
        <v>10</v>
      </c>
      <c r="T10" s="35">
        <v>10</v>
      </c>
      <c r="U10" s="35">
        <v>10</v>
      </c>
      <c r="V10" s="35">
        <v>10</v>
      </c>
      <c r="W10" s="35">
        <v>10</v>
      </c>
      <c r="X10" s="35">
        <v>10</v>
      </c>
      <c r="Y10" s="35">
        <v>10</v>
      </c>
      <c r="Z10" s="35">
        <v>10</v>
      </c>
      <c r="AA10" s="35">
        <v>10</v>
      </c>
      <c r="AB10" s="35">
        <v>10</v>
      </c>
      <c r="AC10" s="36">
        <v>10</v>
      </c>
      <c r="AD10" s="35">
        <v>10</v>
      </c>
      <c r="AE10" s="35">
        <v>10</v>
      </c>
      <c r="AF10" s="35">
        <v>10</v>
      </c>
      <c r="AG10" s="35">
        <v>10</v>
      </c>
      <c r="AH10" s="35">
        <v>10</v>
      </c>
      <c r="AI10" s="35">
        <v>10</v>
      </c>
      <c r="AJ10" s="35">
        <v>10</v>
      </c>
      <c r="AK10" s="35">
        <v>10</v>
      </c>
      <c r="AL10" s="35">
        <v>10</v>
      </c>
      <c r="AM10" s="35">
        <v>10</v>
      </c>
      <c r="AN10" s="35">
        <v>10</v>
      </c>
      <c r="AO10" s="36">
        <v>10</v>
      </c>
      <c r="AP10" s="35">
        <v>10</v>
      </c>
      <c r="AQ10" s="35">
        <v>10</v>
      </c>
      <c r="AR10" s="35">
        <v>10</v>
      </c>
      <c r="AS10" s="35">
        <v>10</v>
      </c>
      <c r="AT10" s="35">
        <v>10</v>
      </c>
      <c r="AU10" s="37">
        <v>10</v>
      </c>
      <c r="AV10" s="35">
        <f>SUM(F10:Q10)</f>
        <v>120</v>
      </c>
      <c r="AW10" s="35">
        <f>SUM(R10:AC10)</f>
        <v>120</v>
      </c>
      <c r="AX10" s="35">
        <f>SUM(AD10:AO10)</f>
        <v>120</v>
      </c>
      <c r="AY10" s="35">
        <f>SUM(AH10:AS10)</f>
        <v>120</v>
      </c>
      <c r="AZ10" s="35">
        <f>SUM(AJ10:AU10)</f>
        <v>120</v>
      </c>
      <c r="BB10" s="23">
        <f t="shared" ref="BB10:BB45" si="2">IFERROR(F10/F$45,0)</f>
        <v>0.25</v>
      </c>
      <c r="BC10" s="23">
        <f t="shared" ref="BC10:BC45" si="3">IFERROR(G10/G$45,0)</f>
        <v>0.25</v>
      </c>
      <c r="BD10" s="23">
        <f t="shared" ref="BD10:BD45" si="4">IFERROR(H10/H$45,0)</f>
        <v>0.25</v>
      </c>
      <c r="BE10" s="23">
        <f t="shared" ref="BE10:BE45" si="5">IFERROR(I10/I$45,0)</f>
        <v>0.25</v>
      </c>
      <c r="BF10" s="23">
        <f t="shared" ref="BF10:BF45" si="6">IFERROR(J10/J$45,0)</f>
        <v>0.25</v>
      </c>
      <c r="BG10" s="23">
        <f t="shared" ref="BG10:BG45" si="7">IFERROR(K10/K$45,0)</f>
        <v>0.25</v>
      </c>
      <c r="BH10" s="23">
        <f t="shared" ref="BH10:BH45" si="8">IFERROR(L10/L$45,0)</f>
        <v>0.25</v>
      </c>
      <c r="BI10" s="23">
        <f t="shared" ref="BI10:BI45" si="9">IFERROR(M10/M$45,0)</f>
        <v>0.25</v>
      </c>
      <c r="BJ10" s="23">
        <f t="shared" ref="BJ10:BJ45" si="10">IFERROR(N10/N$45,0)</f>
        <v>0.25</v>
      </c>
      <c r="BK10" s="23">
        <f t="shared" ref="BK10:BK45" si="11">IFERROR(O10/O$45,0)</f>
        <v>0.25</v>
      </c>
      <c r="BL10" s="23">
        <f t="shared" ref="BL10:BL45" si="12">IFERROR(P10/P$45,0)</f>
        <v>0.25</v>
      </c>
      <c r="BM10" s="24">
        <f t="shared" ref="BM10:BM45" si="13">IFERROR(Q10/Q$45,0)</f>
        <v>0.25</v>
      </c>
      <c r="BN10" s="23">
        <f t="shared" ref="BN10:BN45" si="14">IFERROR(R10/R$45,0)</f>
        <v>0.25</v>
      </c>
      <c r="BO10" s="23">
        <f t="shared" ref="BO10:BO45" si="15">IFERROR(S10/S$45,0)</f>
        <v>0.25</v>
      </c>
      <c r="BP10" s="23">
        <f t="shared" ref="BP10:BP45" si="16">IFERROR(T10/T$45,0)</f>
        <v>0.25</v>
      </c>
      <c r="BQ10" s="23">
        <f t="shared" ref="BQ10:BQ45" si="17">IFERROR(U10/U$45,0)</f>
        <v>0.25</v>
      </c>
      <c r="BR10" s="23">
        <f t="shared" ref="BR10:BR45" si="18">IFERROR(V10/V$45,0)</f>
        <v>0.25</v>
      </c>
      <c r="BS10" s="23">
        <f t="shared" ref="BS10:BS45" si="19">IFERROR(W10/W$45,0)</f>
        <v>0.25</v>
      </c>
      <c r="BT10" s="23">
        <f t="shared" ref="BT10:BT45" si="20">IFERROR(X10/X$45,0)</f>
        <v>0.25</v>
      </c>
      <c r="BU10" s="23">
        <f t="shared" ref="BU10:BU45" si="21">IFERROR(Y10/Y$45,0)</f>
        <v>0.25</v>
      </c>
      <c r="BV10" s="23">
        <f t="shared" ref="BV10:BV45" si="22">IFERROR(Z10/Z$45,0)</f>
        <v>0.25</v>
      </c>
      <c r="BW10" s="23">
        <f t="shared" ref="BW10:BW45" si="23">IFERROR(AA10/AA$45,0)</f>
        <v>0.25</v>
      </c>
      <c r="BX10" s="23">
        <f t="shared" ref="BX10:BX45" si="24">IFERROR(AB10/AB$45,0)</f>
        <v>0.25</v>
      </c>
      <c r="BY10" s="24">
        <f t="shared" ref="BY10:BY45" si="25">IFERROR(AC10/AC$45,0)</f>
        <v>0.25</v>
      </c>
      <c r="BZ10" s="23">
        <f t="shared" ref="BZ10:BZ45" si="26">IFERROR(AD10/AD$45,0)</f>
        <v>0.25</v>
      </c>
      <c r="CA10" s="23">
        <f t="shared" ref="CA10:CA45" si="27">IFERROR(AE10/AE$45,0)</f>
        <v>0.25</v>
      </c>
      <c r="CB10" s="23">
        <f t="shared" ref="CB10:CB45" si="28">IFERROR(AF10/AF$45,0)</f>
        <v>0.25</v>
      </c>
      <c r="CC10" s="23">
        <f t="shared" ref="CC10:CC45" si="29">IFERROR(AG10/AG$45,0)</f>
        <v>0.25</v>
      </c>
      <c r="CD10" s="23">
        <f t="shared" ref="CD10:CD45" si="30">IFERROR(AH10/AH$45,0)</f>
        <v>0.25</v>
      </c>
      <c r="CE10" s="23">
        <f t="shared" ref="CE10:CE45" si="31">IFERROR(AI10/AI$45,0)</f>
        <v>0.25</v>
      </c>
      <c r="CF10" s="23">
        <f t="shared" ref="CF10:CF45" si="32">IFERROR(AJ10/AJ$45,0)</f>
        <v>0.25</v>
      </c>
      <c r="CG10" s="23">
        <f t="shared" ref="CG10:CG45" si="33">IFERROR(AK10/AK$45,0)</f>
        <v>0.25</v>
      </c>
      <c r="CH10" s="23">
        <f t="shared" ref="CH10:CH45" si="34">IFERROR(AL10/AL$45,0)</f>
        <v>0.25</v>
      </c>
      <c r="CI10" s="23">
        <f t="shared" ref="CI10:CI45" si="35">IFERROR(AM10/AM$45,0)</f>
        <v>0.25</v>
      </c>
      <c r="CJ10" s="23">
        <f t="shared" ref="CJ10:CJ45" si="36">IFERROR(AN10/AN$45,0)</f>
        <v>0.25</v>
      </c>
      <c r="CK10" s="24">
        <f t="shared" ref="CK10:CK45" si="37">IFERROR(AO10/AO$45,0)</f>
        <v>0.25</v>
      </c>
      <c r="CL10" s="42">
        <f t="shared" ref="CL10:CL45" si="38">IFERROR(AP10/AP$45,0)</f>
        <v>0.25</v>
      </c>
      <c r="CM10" s="42">
        <f t="shared" ref="CM10:CM45" si="39">IFERROR(AQ10/AQ$45,0)</f>
        <v>0.25</v>
      </c>
      <c r="CN10" s="42">
        <f t="shared" ref="CN10:CN45" si="40">IFERROR(AR10/AR$45,0)</f>
        <v>0.25</v>
      </c>
      <c r="CO10" s="42">
        <f t="shared" ref="CO10:CO45" si="41">IFERROR(AS10/AS$45,0)</f>
        <v>0.25</v>
      </c>
      <c r="CP10" s="42">
        <f t="shared" ref="CP10:CP45" si="42">IFERROR(AT10/AT$45,0)</f>
        <v>0.25</v>
      </c>
      <c r="CQ10" s="90">
        <f t="shared" ref="CQ10:CQ45" si="43">IFERROR(AU10/AU$45,0)</f>
        <v>0.25</v>
      </c>
      <c r="CR10" s="23">
        <f t="shared" ref="CR10:CR45" si="44">IFERROR(AV10/AV$45,0)</f>
        <v>0.25</v>
      </c>
      <c r="CS10" s="23">
        <f t="shared" ref="CS10:CS45" si="45">IFERROR(AW10/AW$45,0)</f>
        <v>0.25</v>
      </c>
      <c r="CT10" s="23">
        <f t="shared" ref="CT10:CT45" si="46">IFERROR(AX10/AX$45,0)</f>
        <v>0.25</v>
      </c>
      <c r="CU10" s="23">
        <f t="shared" ref="CU10:CU45" si="47">IFERROR(AY10/AY$45,0)</f>
        <v>0.25</v>
      </c>
      <c r="CV10" s="23">
        <f t="shared" ref="CV10:CV45" si="48">IFERROR(AZ10/AZ$45,0)</f>
        <v>0.25</v>
      </c>
    </row>
    <row r="11" spans="1:111" ht="12" customHeight="1" outlineLevel="1">
      <c r="C11" s="13" t="s">
        <v>63</v>
      </c>
      <c r="D11" s="12" t="s">
        <v>64</v>
      </c>
      <c r="E11" s="12" t="s">
        <v>65</v>
      </c>
      <c r="F11" s="35">
        <v>10</v>
      </c>
      <c r="G11" s="35">
        <v>10</v>
      </c>
      <c r="H11" s="35">
        <v>10</v>
      </c>
      <c r="I11" s="35">
        <v>10</v>
      </c>
      <c r="J11" s="35">
        <v>10</v>
      </c>
      <c r="K11" s="35">
        <v>10</v>
      </c>
      <c r="L11" s="35">
        <v>10</v>
      </c>
      <c r="M11" s="35">
        <v>10</v>
      </c>
      <c r="N11" s="35">
        <v>10</v>
      </c>
      <c r="O11" s="35">
        <v>10</v>
      </c>
      <c r="P11" s="35">
        <v>10</v>
      </c>
      <c r="Q11" s="36">
        <v>10</v>
      </c>
      <c r="R11" s="35">
        <v>10</v>
      </c>
      <c r="S11" s="35">
        <v>10</v>
      </c>
      <c r="T11" s="35">
        <v>10</v>
      </c>
      <c r="U11" s="35">
        <v>10</v>
      </c>
      <c r="V11" s="35">
        <v>10</v>
      </c>
      <c r="W11" s="35">
        <v>10</v>
      </c>
      <c r="X11" s="35">
        <v>10</v>
      </c>
      <c r="Y11" s="35">
        <v>10</v>
      </c>
      <c r="Z11" s="35">
        <v>10</v>
      </c>
      <c r="AA11" s="35">
        <v>10</v>
      </c>
      <c r="AB11" s="35">
        <v>10</v>
      </c>
      <c r="AC11" s="36">
        <v>10</v>
      </c>
      <c r="AD11" s="35">
        <v>10</v>
      </c>
      <c r="AE11" s="35">
        <v>10</v>
      </c>
      <c r="AF11" s="35">
        <v>10</v>
      </c>
      <c r="AG11" s="35">
        <v>10</v>
      </c>
      <c r="AH11" s="35">
        <v>10</v>
      </c>
      <c r="AI11" s="35">
        <v>10</v>
      </c>
      <c r="AJ11" s="35">
        <v>10</v>
      </c>
      <c r="AK11" s="35">
        <v>10</v>
      </c>
      <c r="AL11" s="35">
        <v>10</v>
      </c>
      <c r="AM11" s="35">
        <v>10</v>
      </c>
      <c r="AN11" s="35">
        <v>10</v>
      </c>
      <c r="AO11" s="36">
        <v>10</v>
      </c>
      <c r="AP11" s="35">
        <v>10</v>
      </c>
      <c r="AQ11" s="35">
        <v>10</v>
      </c>
      <c r="AR11" s="35">
        <v>10</v>
      </c>
      <c r="AS11" s="35">
        <v>10</v>
      </c>
      <c r="AT11" s="35">
        <v>10</v>
      </c>
      <c r="AU11" s="37">
        <v>10</v>
      </c>
      <c r="AV11" s="35">
        <f>SUM(F11:Q11)</f>
        <v>120</v>
      </c>
      <c r="AW11" s="35">
        <f>SUM(R11:AC11)</f>
        <v>120</v>
      </c>
      <c r="AX11" s="35">
        <f>SUM(AD11:AO11)</f>
        <v>120</v>
      </c>
      <c r="AY11" s="35">
        <f>SUM(AH11:AS11)</f>
        <v>120</v>
      </c>
      <c r="AZ11" s="35">
        <f>SUM(AJ11:AU11)</f>
        <v>120</v>
      </c>
      <c r="BB11" s="23">
        <f t="shared" si="2"/>
        <v>0.25</v>
      </c>
      <c r="BC11" s="23">
        <f t="shared" si="3"/>
        <v>0.25</v>
      </c>
      <c r="BD11" s="23">
        <f t="shared" si="4"/>
        <v>0.25</v>
      </c>
      <c r="BE11" s="23">
        <f t="shared" si="5"/>
        <v>0.25</v>
      </c>
      <c r="BF11" s="23">
        <f t="shared" si="6"/>
        <v>0.25</v>
      </c>
      <c r="BG11" s="23">
        <f t="shared" si="7"/>
        <v>0.25</v>
      </c>
      <c r="BH11" s="23">
        <f t="shared" si="8"/>
        <v>0.25</v>
      </c>
      <c r="BI11" s="23">
        <f t="shared" si="9"/>
        <v>0.25</v>
      </c>
      <c r="BJ11" s="23">
        <f t="shared" si="10"/>
        <v>0.25</v>
      </c>
      <c r="BK11" s="23">
        <f t="shared" si="11"/>
        <v>0.25</v>
      </c>
      <c r="BL11" s="23">
        <f t="shared" si="12"/>
        <v>0.25</v>
      </c>
      <c r="BM11" s="24">
        <f t="shared" si="13"/>
        <v>0.25</v>
      </c>
      <c r="BN11" s="23">
        <f t="shared" si="14"/>
        <v>0.25</v>
      </c>
      <c r="BO11" s="23">
        <f t="shared" si="15"/>
        <v>0.25</v>
      </c>
      <c r="BP11" s="23">
        <f t="shared" si="16"/>
        <v>0.25</v>
      </c>
      <c r="BQ11" s="23">
        <f t="shared" si="17"/>
        <v>0.25</v>
      </c>
      <c r="BR11" s="23">
        <f t="shared" si="18"/>
        <v>0.25</v>
      </c>
      <c r="BS11" s="23">
        <f t="shared" si="19"/>
        <v>0.25</v>
      </c>
      <c r="BT11" s="23">
        <f t="shared" si="20"/>
        <v>0.25</v>
      </c>
      <c r="BU11" s="23">
        <f t="shared" si="21"/>
        <v>0.25</v>
      </c>
      <c r="BV11" s="23">
        <f t="shared" si="22"/>
        <v>0.25</v>
      </c>
      <c r="BW11" s="23">
        <f t="shared" si="23"/>
        <v>0.25</v>
      </c>
      <c r="BX11" s="23">
        <f t="shared" si="24"/>
        <v>0.25</v>
      </c>
      <c r="BY11" s="24">
        <f t="shared" si="25"/>
        <v>0.25</v>
      </c>
      <c r="BZ11" s="23">
        <f t="shared" si="26"/>
        <v>0.25</v>
      </c>
      <c r="CA11" s="23">
        <f t="shared" si="27"/>
        <v>0.25</v>
      </c>
      <c r="CB11" s="23">
        <f t="shared" si="28"/>
        <v>0.25</v>
      </c>
      <c r="CC11" s="23">
        <f t="shared" si="29"/>
        <v>0.25</v>
      </c>
      <c r="CD11" s="23">
        <f t="shared" si="30"/>
        <v>0.25</v>
      </c>
      <c r="CE11" s="23">
        <f t="shared" si="31"/>
        <v>0.25</v>
      </c>
      <c r="CF11" s="23">
        <f t="shared" si="32"/>
        <v>0.25</v>
      </c>
      <c r="CG11" s="23">
        <f t="shared" si="33"/>
        <v>0.25</v>
      </c>
      <c r="CH11" s="23">
        <f t="shared" si="34"/>
        <v>0.25</v>
      </c>
      <c r="CI11" s="23">
        <f t="shared" si="35"/>
        <v>0.25</v>
      </c>
      <c r="CJ11" s="23">
        <f t="shared" si="36"/>
        <v>0.25</v>
      </c>
      <c r="CK11" s="24">
        <f t="shared" si="37"/>
        <v>0.25</v>
      </c>
      <c r="CL11" s="42">
        <f t="shared" si="38"/>
        <v>0.25</v>
      </c>
      <c r="CM11" s="42">
        <f t="shared" si="39"/>
        <v>0.25</v>
      </c>
      <c r="CN11" s="42">
        <f t="shared" si="40"/>
        <v>0.25</v>
      </c>
      <c r="CO11" s="42">
        <f t="shared" si="41"/>
        <v>0.25</v>
      </c>
      <c r="CP11" s="42">
        <f t="shared" si="42"/>
        <v>0.25</v>
      </c>
      <c r="CQ11" s="90">
        <f t="shared" si="43"/>
        <v>0.25</v>
      </c>
      <c r="CR11" s="23">
        <f t="shared" si="44"/>
        <v>0.25</v>
      </c>
      <c r="CS11" s="23">
        <f t="shared" si="45"/>
        <v>0.25</v>
      </c>
      <c r="CT11" s="23">
        <f t="shared" si="46"/>
        <v>0.25</v>
      </c>
      <c r="CU11" s="23">
        <f t="shared" si="47"/>
        <v>0.25</v>
      </c>
      <c r="CV11" s="23">
        <f t="shared" si="48"/>
        <v>0.25</v>
      </c>
    </row>
    <row r="12" spans="1:111" ht="12" customHeight="1" outlineLevel="1">
      <c r="C12" s="13" t="s">
        <v>66</v>
      </c>
      <c r="D12" s="12" t="s">
        <v>67</v>
      </c>
      <c r="E12" s="12" t="s">
        <v>68</v>
      </c>
      <c r="F12" s="35">
        <v>10</v>
      </c>
      <c r="G12" s="35">
        <v>10</v>
      </c>
      <c r="H12" s="35">
        <v>10</v>
      </c>
      <c r="I12" s="35">
        <v>10</v>
      </c>
      <c r="J12" s="35">
        <v>10</v>
      </c>
      <c r="K12" s="35">
        <v>10</v>
      </c>
      <c r="L12" s="35">
        <v>10</v>
      </c>
      <c r="M12" s="35">
        <v>10</v>
      </c>
      <c r="N12" s="35">
        <v>10</v>
      </c>
      <c r="O12" s="35">
        <v>10</v>
      </c>
      <c r="P12" s="35">
        <v>10</v>
      </c>
      <c r="Q12" s="36">
        <v>10</v>
      </c>
      <c r="R12" s="35">
        <v>10</v>
      </c>
      <c r="S12" s="35">
        <v>10</v>
      </c>
      <c r="T12" s="35">
        <v>10</v>
      </c>
      <c r="U12" s="35">
        <v>10</v>
      </c>
      <c r="V12" s="35">
        <v>10</v>
      </c>
      <c r="W12" s="35">
        <v>10</v>
      </c>
      <c r="X12" s="35">
        <v>10</v>
      </c>
      <c r="Y12" s="35">
        <v>10</v>
      </c>
      <c r="Z12" s="35">
        <v>10</v>
      </c>
      <c r="AA12" s="35">
        <v>10</v>
      </c>
      <c r="AB12" s="35">
        <v>10</v>
      </c>
      <c r="AC12" s="36">
        <v>10</v>
      </c>
      <c r="AD12" s="35">
        <v>10</v>
      </c>
      <c r="AE12" s="35">
        <v>10</v>
      </c>
      <c r="AF12" s="35">
        <v>10</v>
      </c>
      <c r="AG12" s="35">
        <v>10</v>
      </c>
      <c r="AH12" s="35">
        <v>10</v>
      </c>
      <c r="AI12" s="35">
        <v>10</v>
      </c>
      <c r="AJ12" s="35">
        <v>10</v>
      </c>
      <c r="AK12" s="35">
        <v>10</v>
      </c>
      <c r="AL12" s="35">
        <v>10</v>
      </c>
      <c r="AM12" s="35">
        <v>10</v>
      </c>
      <c r="AN12" s="35">
        <v>10</v>
      </c>
      <c r="AO12" s="36">
        <v>10</v>
      </c>
      <c r="AP12" s="35">
        <v>10</v>
      </c>
      <c r="AQ12" s="35">
        <v>10</v>
      </c>
      <c r="AR12" s="35">
        <v>10</v>
      </c>
      <c r="AS12" s="35">
        <v>10</v>
      </c>
      <c r="AT12" s="35">
        <v>10</v>
      </c>
      <c r="AU12" s="37">
        <v>10</v>
      </c>
      <c r="AV12" s="35">
        <f>SUM(F12:Q12)</f>
        <v>120</v>
      </c>
      <c r="AW12" s="35">
        <f>SUM(R12:AC12)</f>
        <v>120</v>
      </c>
      <c r="AX12" s="35">
        <f>SUM(AD12:AO12)</f>
        <v>120</v>
      </c>
      <c r="AY12" s="35">
        <f>SUM(AH12:AS12)</f>
        <v>120</v>
      </c>
      <c r="AZ12" s="35">
        <f>SUM(AJ12:AU12)</f>
        <v>120</v>
      </c>
      <c r="BB12" s="23">
        <f t="shared" si="2"/>
        <v>0.25</v>
      </c>
      <c r="BC12" s="23">
        <f t="shared" si="3"/>
        <v>0.25</v>
      </c>
      <c r="BD12" s="23">
        <f t="shared" si="4"/>
        <v>0.25</v>
      </c>
      <c r="BE12" s="23">
        <f t="shared" si="5"/>
        <v>0.25</v>
      </c>
      <c r="BF12" s="23">
        <f t="shared" si="6"/>
        <v>0.25</v>
      </c>
      <c r="BG12" s="23">
        <f t="shared" si="7"/>
        <v>0.25</v>
      </c>
      <c r="BH12" s="23">
        <f t="shared" si="8"/>
        <v>0.25</v>
      </c>
      <c r="BI12" s="23">
        <f t="shared" si="9"/>
        <v>0.25</v>
      </c>
      <c r="BJ12" s="23">
        <f t="shared" si="10"/>
        <v>0.25</v>
      </c>
      <c r="BK12" s="23">
        <f t="shared" si="11"/>
        <v>0.25</v>
      </c>
      <c r="BL12" s="23">
        <f t="shared" si="12"/>
        <v>0.25</v>
      </c>
      <c r="BM12" s="24">
        <f t="shared" si="13"/>
        <v>0.25</v>
      </c>
      <c r="BN12" s="23">
        <f t="shared" si="14"/>
        <v>0.25</v>
      </c>
      <c r="BO12" s="23">
        <f t="shared" si="15"/>
        <v>0.25</v>
      </c>
      <c r="BP12" s="23">
        <f t="shared" si="16"/>
        <v>0.25</v>
      </c>
      <c r="BQ12" s="23">
        <f t="shared" si="17"/>
        <v>0.25</v>
      </c>
      <c r="BR12" s="23">
        <f t="shared" si="18"/>
        <v>0.25</v>
      </c>
      <c r="BS12" s="23">
        <f t="shared" si="19"/>
        <v>0.25</v>
      </c>
      <c r="BT12" s="23">
        <f t="shared" si="20"/>
        <v>0.25</v>
      </c>
      <c r="BU12" s="23">
        <f t="shared" si="21"/>
        <v>0.25</v>
      </c>
      <c r="BV12" s="23">
        <f t="shared" si="22"/>
        <v>0.25</v>
      </c>
      <c r="BW12" s="23">
        <f t="shared" si="23"/>
        <v>0.25</v>
      </c>
      <c r="BX12" s="23">
        <f t="shared" si="24"/>
        <v>0.25</v>
      </c>
      <c r="BY12" s="24">
        <f t="shared" si="25"/>
        <v>0.25</v>
      </c>
      <c r="BZ12" s="23">
        <f t="shared" si="26"/>
        <v>0.25</v>
      </c>
      <c r="CA12" s="23">
        <f t="shared" si="27"/>
        <v>0.25</v>
      </c>
      <c r="CB12" s="23">
        <f t="shared" si="28"/>
        <v>0.25</v>
      </c>
      <c r="CC12" s="23">
        <f t="shared" si="29"/>
        <v>0.25</v>
      </c>
      <c r="CD12" s="23">
        <f t="shared" si="30"/>
        <v>0.25</v>
      </c>
      <c r="CE12" s="23">
        <f t="shared" si="31"/>
        <v>0.25</v>
      </c>
      <c r="CF12" s="23">
        <f t="shared" si="32"/>
        <v>0.25</v>
      </c>
      <c r="CG12" s="23">
        <f t="shared" si="33"/>
        <v>0.25</v>
      </c>
      <c r="CH12" s="23">
        <f t="shared" si="34"/>
        <v>0.25</v>
      </c>
      <c r="CI12" s="23">
        <f t="shared" si="35"/>
        <v>0.25</v>
      </c>
      <c r="CJ12" s="23">
        <f t="shared" si="36"/>
        <v>0.25</v>
      </c>
      <c r="CK12" s="24">
        <f t="shared" si="37"/>
        <v>0.25</v>
      </c>
      <c r="CL12" s="42">
        <f t="shared" si="38"/>
        <v>0.25</v>
      </c>
      <c r="CM12" s="42">
        <f t="shared" si="39"/>
        <v>0.25</v>
      </c>
      <c r="CN12" s="42">
        <f t="shared" si="40"/>
        <v>0.25</v>
      </c>
      <c r="CO12" s="42">
        <f t="shared" si="41"/>
        <v>0.25</v>
      </c>
      <c r="CP12" s="42">
        <f t="shared" si="42"/>
        <v>0.25</v>
      </c>
      <c r="CQ12" s="90">
        <f t="shared" si="43"/>
        <v>0.25</v>
      </c>
      <c r="CR12" s="23">
        <f t="shared" si="44"/>
        <v>0.25</v>
      </c>
      <c r="CS12" s="23">
        <f t="shared" si="45"/>
        <v>0.25</v>
      </c>
      <c r="CT12" s="23">
        <f t="shared" si="46"/>
        <v>0.25</v>
      </c>
      <c r="CU12" s="23">
        <f t="shared" si="47"/>
        <v>0.25</v>
      </c>
      <c r="CV12" s="23">
        <f t="shared" si="48"/>
        <v>0.25</v>
      </c>
    </row>
    <row r="13" spans="1:111" ht="12" customHeight="1" outlineLevel="1">
      <c r="C13" s="15" t="s">
        <v>69</v>
      </c>
      <c r="D13" s="16" t="s">
        <v>70</v>
      </c>
      <c r="E13" s="16" t="s">
        <v>71</v>
      </c>
      <c r="F13" s="38">
        <v>10</v>
      </c>
      <c r="G13" s="38">
        <v>10</v>
      </c>
      <c r="H13" s="38">
        <v>10</v>
      </c>
      <c r="I13" s="38">
        <v>10</v>
      </c>
      <c r="J13" s="38">
        <v>10</v>
      </c>
      <c r="K13" s="38">
        <v>10</v>
      </c>
      <c r="L13" s="38">
        <v>10</v>
      </c>
      <c r="M13" s="38">
        <v>10</v>
      </c>
      <c r="N13" s="38">
        <v>10</v>
      </c>
      <c r="O13" s="38">
        <v>10</v>
      </c>
      <c r="P13" s="38">
        <v>10</v>
      </c>
      <c r="Q13" s="39">
        <v>10</v>
      </c>
      <c r="R13" s="38">
        <v>10</v>
      </c>
      <c r="S13" s="38">
        <v>10</v>
      </c>
      <c r="T13" s="38">
        <v>10</v>
      </c>
      <c r="U13" s="38">
        <v>10</v>
      </c>
      <c r="V13" s="38">
        <v>10</v>
      </c>
      <c r="W13" s="38">
        <v>10</v>
      </c>
      <c r="X13" s="38">
        <v>10</v>
      </c>
      <c r="Y13" s="38">
        <v>10</v>
      </c>
      <c r="Z13" s="38">
        <v>10</v>
      </c>
      <c r="AA13" s="38">
        <v>10</v>
      </c>
      <c r="AB13" s="38">
        <v>10</v>
      </c>
      <c r="AC13" s="39">
        <v>10</v>
      </c>
      <c r="AD13" s="38">
        <v>10</v>
      </c>
      <c r="AE13" s="38">
        <v>10</v>
      </c>
      <c r="AF13" s="38">
        <v>10</v>
      </c>
      <c r="AG13" s="38">
        <v>10</v>
      </c>
      <c r="AH13" s="38">
        <v>10</v>
      </c>
      <c r="AI13" s="38">
        <v>10</v>
      </c>
      <c r="AJ13" s="38">
        <v>10</v>
      </c>
      <c r="AK13" s="38">
        <v>10</v>
      </c>
      <c r="AL13" s="38">
        <v>10</v>
      </c>
      <c r="AM13" s="38">
        <v>10</v>
      </c>
      <c r="AN13" s="38">
        <v>10</v>
      </c>
      <c r="AO13" s="39">
        <v>10</v>
      </c>
      <c r="AP13" s="38">
        <v>10</v>
      </c>
      <c r="AQ13" s="38">
        <v>10</v>
      </c>
      <c r="AR13" s="38">
        <v>10</v>
      </c>
      <c r="AS13" s="38">
        <v>10</v>
      </c>
      <c r="AT13" s="38">
        <v>10</v>
      </c>
      <c r="AU13" s="40">
        <v>10</v>
      </c>
      <c r="AV13" s="38">
        <f>SUM(F13:Q13)</f>
        <v>120</v>
      </c>
      <c r="AW13" s="38">
        <f>SUM(R13:AC13)</f>
        <v>120</v>
      </c>
      <c r="AX13" s="38">
        <f>SUM(AD13:AO13)</f>
        <v>120</v>
      </c>
      <c r="AY13" s="38">
        <f>SUM(AH13:AS13)</f>
        <v>120</v>
      </c>
      <c r="AZ13" s="38">
        <f>SUM(AJ13:AU13)</f>
        <v>120</v>
      </c>
      <c r="BB13" s="25">
        <f t="shared" si="2"/>
        <v>0.25</v>
      </c>
      <c r="BC13" s="25">
        <f t="shared" si="3"/>
        <v>0.25</v>
      </c>
      <c r="BD13" s="25">
        <f t="shared" si="4"/>
        <v>0.25</v>
      </c>
      <c r="BE13" s="25">
        <f t="shared" si="5"/>
        <v>0.25</v>
      </c>
      <c r="BF13" s="25">
        <f t="shared" si="6"/>
        <v>0.25</v>
      </c>
      <c r="BG13" s="25">
        <f t="shared" si="7"/>
        <v>0.25</v>
      </c>
      <c r="BH13" s="25">
        <f t="shared" si="8"/>
        <v>0.25</v>
      </c>
      <c r="BI13" s="25">
        <f t="shared" si="9"/>
        <v>0.25</v>
      </c>
      <c r="BJ13" s="25">
        <f t="shared" si="10"/>
        <v>0.25</v>
      </c>
      <c r="BK13" s="25">
        <f t="shared" si="11"/>
        <v>0.25</v>
      </c>
      <c r="BL13" s="25">
        <f t="shared" si="12"/>
        <v>0.25</v>
      </c>
      <c r="BM13" s="26">
        <f t="shared" si="13"/>
        <v>0.25</v>
      </c>
      <c r="BN13" s="25">
        <f t="shared" si="14"/>
        <v>0.25</v>
      </c>
      <c r="BO13" s="25">
        <f t="shared" si="15"/>
        <v>0.25</v>
      </c>
      <c r="BP13" s="25">
        <f t="shared" si="16"/>
        <v>0.25</v>
      </c>
      <c r="BQ13" s="25">
        <f t="shared" si="17"/>
        <v>0.25</v>
      </c>
      <c r="BR13" s="25">
        <f t="shared" si="18"/>
        <v>0.25</v>
      </c>
      <c r="BS13" s="25">
        <f t="shared" si="19"/>
        <v>0.25</v>
      </c>
      <c r="BT13" s="25">
        <f t="shared" si="20"/>
        <v>0.25</v>
      </c>
      <c r="BU13" s="25">
        <f t="shared" si="21"/>
        <v>0.25</v>
      </c>
      <c r="BV13" s="25">
        <f t="shared" si="22"/>
        <v>0.25</v>
      </c>
      <c r="BW13" s="25">
        <f t="shared" si="23"/>
        <v>0.25</v>
      </c>
      <c r="BX13" s="25">
        <f t="shared" si="24"/>
        <v>0.25</v>
      </c>
      <c r="BY13" s="26">
        <f t="shared" si="25"/>
        <v>0.25</v>
      </c>
      <c r="BZ13" s="25">
        <f t="shared" si="26"/>
        <v>0.25</v>
      </c>
      <c r="CA13" s="25">
        <f t="shared" si="27"/>
        <v>0.25</v>
      </c>
      <c r="CB13" s="25">
        <f t="shared" si="28"/>
        <v>0.25</v>
      </c>
      <c r="CC13" s="25">
        <f t="shared" si="29"/>
        <v>0.25</v>
      </c>
      <c r="CD13" s="25">
        <f t="shared" si="30"/>
        <v>0.25</v>
      </c>
      <c r="CE13" s="25">
        <f t="shared" si="31"/>
        <v>0.25</v>
      </c>
      <c r="CF13" s="25">
        <f t="shared" si="32"/>
        <v>0.25</v>
      </c>
      <c r="CG13" s="25">
        <f t="shared" si="33"/>
        <v>0.25</v>
      </c>
      <c r="CH13" s="25">
        <f t="shared" si="34"/>
        <v>0.25</v>
      </c>
      <c r="CI13" s="25">
        <f t="shared" si="35"/>
        <v>0.25</v>
      </c>
      <c r="CJ13" s="25">
        <f t="shared" si="36"/>
        <v>0.25</v>
      </c>
      <c r="CK13" s="26">
        <f t="shared" si="37"/>
        <v>0.25</v>
      </c>
      <c r="CL13" s="43">
        <f t="shared" si="38"/>
        <v>0.25</v>
      </c>
      <c r="CM13" s="43">
        <f t="shared" si="39"/>
        <v>0.25</v>
      </c>
      <c r="CN13" s="43">
        <f t="shared" si="40"/>
        <v>0.25</v>
      </c>
      <c r="CO13" s="43">
        <f t="shared" si="41"/>
        <v>0.25</v>
      </c>
      <c r="CP13" s="43">
        <f t="shared" si="42"/>
        <v>0.25</v>
      </c>
      <c r="CQ13" s="91">
        <f t="shared" si="43"/>
        <v>0.25</v>
      </c>
      <c r="CR13" s="25">
        <f t="shared" si="44"/>
        <v>0.25</v>
      </c>
      <c r="CS13" s="25">
        <f t="shared" si="45"/>
        <v>0.25</v>
      </c>
      <c r="CT13" s="25">
        <f t="shared" si="46"/>
        <v>0.25</v>
      </c>
      <c r="CU13" s="25">
        <f t="shared" si="47"/>
        <v>0.25</v>
      </c>
      <c r="CV13" s="25">
        <f t="shared" si="48"/>
        <v>0.25</v>
      </c>
    </row>
    <row r="14" spans="1:111" ht="12" customHeight="1">
      <c r="C14" s="14" t="s">
        <v>18</v>
      </c>
      <c r="D14" s="12"/>
      <c r="E14" s="12"/>
      <c r="F14" s="35">
        <f t="shared" ref="F14:AZ14" si="49">SUM(F10:F13)</f>
        <v>40</v>
      </c>
      <c r="G14" s="35">
        <f t="shared" si="49"/>
        <v>40</v>
      </c>
      <c r="H14" s="35">
        <f t="shared" si="49"/>
        <v>40</v>
      </c>
      <c r="I14" s="35">
        <f t="shared" si="49"/>
        <v>40</v>
      </c>
      <c r="J14" s="35">
        <f t="shared" si="49"/>
        <v>40</v>
      </c>
      <c r="K14" s="35">
        <f t="shared" si="49"/>
        <v>40</v>
      </c>
      <c r="L14" s="35">
        <f t="shared" si="49"/>
        <v>40</v>
      </c>
      <c r="M14" s="35">
        <f t="shared" si="49"/>
        <v>40</v>
      </c>
      <c r="N14" s="35">
        <f t="shared" si="49"/>
        <v>40</v>
      </c>
      <c r="O14" s="35">
        <f t="shared" si="49"/>
        <v>40</v>
      </c>
      <c r="P14" s="35">
        <f t="shared" si="49"/>
        <v>40</v>
      </c>
      <c r="Q14" s="36">
        <f t="shared" si="49"/>
        <v>40</v>
      </c>
      <c r="R14" s="35">
        <f t="shared" si="49"/>
        <v>40</v>
      </c>
      <c r="S14" s="35">
        <f t="shared" si="49"/>
        <v>40</v>
      </c>
      <c r="T14" s="35">
        <f t="shared" si="49"/>
        <v>40</v>
      </c>
      <c r="U14" s="35">
        <f t="shared" si="49"/>
        <v>40</v>
      </c>
      <c r="V14" s="35">
        <f t="shared" si="49"/>
        <v>40</v>
      </c>
      <c r="W14" s="35">
        <f t="shared" si="49"/>
        <v>40</v>
      </c>
      <c r="X14" s="35">
        <f t="shared" si="49"/>
        <v>40</v>
      </c>
      <c r="Y14" s="35">
        <f t="shared" si="49"/>
        <v>40</v>
      </c>
      <c r="Z14" s="35">
        <f t="shared" si="49"/>
        <v>40</v>
      </c>
      <c r="AA14" s="35">
        <f t="shared" si="49"/>
        <v>40</v>
      </c>
      <c r="AB14" s="35">
        <f t="shared" si="49"/>
        <v>40</v>
      </c>
      <c r="AC14" s="36">
        <f t="shared" si="49"/>
        <v>40</v>
      </c>
      <c r="AD14" s="35">
        <f t="shared" si="49"/>
        <v>40</v>
      </c>
      <c r="AE14" s="35">
        <f t="shared" si="49"/>
        <v>40</v>
      </c>
      <c r="AF14" s="35">
        <f t="shared" si="49"/>
        <v>40</v>
      </c>
      <c r="AG14" s="35">
        <f t="shared" si="49"/>
        <v>40</v>
      </c>
      <c r="AH14" s="35">
        <f t="shared" si="49"/>
        <v>40</v>
      </c>
      <c r="AI14" s="35">
        <f t="shared" si="49"/>
        <v>40</v>
      </c>
      <c r="AJ14" s="35">
        <f t="shared" si="49"/>
        <v>40</v>
      </c>
      <c r="AK14" s="35">
        <f t="shared" si="49"/>
        <v>40</v>
      </c>
      <c r="AL14" s="35">
        <f t="shared" si="49"/>
        <v>40</v>
      </c>
      <c r="AM14" s="35">
        <f t="shared" si="49"/>
        <v>40</v>
      </c>
      <c r="AN14" s="35">
        <f t="shared" si="49"/>
        <v>40</v>
      </c>
      <c r="AO14" s="36">
        <f t="shared" si="49"/>
        <v>40</v>
      </c>
      <c r="AP14" s="35">
        <f t="shared" si="49"/>
        <v>40</v>
      </c>
      <c r="AQ14" s="35">
        <f t="shared" si="49"/>
        <v>40</v>
      </c>
      <c r="AR14" s="35">
        <f t="shared" si="49"/>
        <v>40</v>
      </c>
      <c r="AS14" s="35">
        <f t="shared" si="49"/>
        <v>40</v>
      </c>
      <c r="AT14" s="35">
        <f t="shared" si="49"/>
        <v>40</v>
      </c>
      <c r="AU14" s="37">
        <f t="shared" si="49"/>
        <v>40</v>
      </c>
      <c r="AV14" s="35">
        <f t="shared" si="49"/>
        <v>480</v>
      </c>
      <c r="AW14" s="35">
        <f t="shared" si="49"/>
        <v>480</v>
      </c>
      <c r="AX14" s="35">
        <f t="shared" si="49"/>
        <v>480</v>
      </c>
      <c r="AY14" s="35">
        <f t="shared" si="49"/>
        <v>480</v>
      </c>
      <c r="AZ14" s="35">
        <f t="shared" si="49"/>
        <v>480</v>
      </c>
      <c r="BB14" s="23">
        <f t="shared" si="2"/>
        <v>1</v>
      </c>
      <c r="BC14" s="23">
        <f t="shared" si="3"/>
        <v>1</v>
      </c>
      <c r="BD14" s="23">
        <f t="shared" si="4"/>
        <v>1</v>
      </c>
      <c r="BE14" s="23">
        <f t="shared" si="5"/>
        <v>1</v>
      </c>
      <c r="BF14" s="23">
        <f t="shared" si="6"/>
        <v>1</v>
      </c>
      <c r="BG14" s="23">
        <f t="shared" si="7"/>
        <v>1</v>
      </c>
      <c r="BH14" s="23">
        <f t="shared" si="8"/>
        <v>1</v>
      </c>
      <c r="BI14" s="23">
        <f t="shared" si="9"/>
        <v>1</v>
      </c>
      <c r="BJ14" s="23">
        <f t="shared" si="10"/>
        <v>1</v>
      </c>
      <c r="BK14" s="23">
        <f t="shared" si="11"/>
        <v>1</v>
      </c>
      <c r="BL14" s="23">
        <f t="shared" si="12"/>
        <v>1</v>
      </c>
      <c r="BM14" s="24">
        <f t="shared" si="13"/>
        <v>1</v>
      </c>
      <c r="BN14" s="23">
        <f t="shared" si="14"/>
        <v>1</v>
      </c>
      <c r="BO14" s="23">
        <f t="shared" si="15"/>
        <v>1</v>
      </c>
      <c r="BP14" s="23">
        <f t="shared" si="16"/>
        <v>1</v>
      </c>
      <c r="BQ14" s="23">
        <f t="shared" si="17"/>
        <v>1</v>
      </c>
      <c r="BR14" s="23">
        <f t="shared" si="18"/>
        <v>1</v>
      </c>
      <c r="BS14" s="23">
        <f t="shared" si="19"/>
        <v>1</v>
      </c>
      <c r="BT14" s="23">
        <f t="shared" si="20"/>
        <v>1</v>
      </c>
      <c r="BU14" s="23">
        <f t="shared" si="21"/>
        <v>1</v>
      </c>
      <c r="BV14" s="23">
        <f t="shared" si="22"/>
        <v>1</v>
      </c>
      <c r="BW14" s="23">
        <f t="shared" si="23"/>
        <v>1</v>
      </c>
      <c r="BX14" s="23">
        <f t="shared" si="24"/>
        <v>1</v>
      </c>
      <c r="BY14" s="24">
        <f t="shared" si="25"/>
        <v>1</v>
      </c>
      <c r="BZ14" s="23">
        <f t="shared" si="26"/>
        <v>1</v>
      </c>
      <c r="CA14" s="23">
        <f t="shared" si="27"/>
        <v>1</v>
      </c>
      <c r="CB14" s="23">
        <f t="shared" si="28"/>
        <v>1</v>
      </c>
      <c r="CC14" s="23">
        <f t="shared" si="29"/>
        <v>1</v>
      </c>
      <c r="CD14" s="23">
        <f t="shared" si="30"/>
        <v>1</v>
      </c>
      <c r="CE14" s="23">
        <f t="shared" si="31"/>
        <v>1</v>
      </c>
      <c r="CF14" s="23">
        <f t="shared" si="32"/>
        <v>1</v>
      </c>
      <c r="CG14" s="23">
        <f t="shared" si="33"/>
        <v>1</v>
      </c>
      <c r="CH14" s="23">
        <f t="shared" si="34"/>
        <v>1</v>
      </c>
      <c r="CI14" s="23">
        <f t="shared" si="35"/>
        <v>1</v>
      </c>
      <c r="CJ14" s="23">
        <f t="shared" si="36"/>
        <v>1</v>
      </c>
      <c r="CK14" s="24">
        <f t="shared" si="37"/>
        <v>1</v>
      </c>
      <c r="CL14" s="42">
        <f t="shared" si="38"/>
        <v>1</v>
      </c>
      <c r="CM14" s="42">
        <f t="shared" si="39"/>
        <v>1</v>
      </c>
      <c r="CN14" s="42">
        <f t="shared" si="40"/>
        <v>1</v>
      </c>
      <c r="CO14" s="42">
        <f t="shared" si="41"/>
        <v>1</v>
      </c>
      <c r="CP14" s="42">
        <f t="shared" si="42"/>
        <v>1</v>
      </c>
      <c r="CQ14" s="90">
        <f t="shared" si="43"/>
        <v>1</v>
      </c>
      <c r="CR14" s="23">
        <f t="shared" si="44"/>
        <v>1</v>
      </c>
      <c r="CS14" s="23">
        <f t="shared" si="45"/>
        <v>1</v>
      </c>
      <c r="CT14" s="23">
        <f t="shared" si="46"/>
        <v>1</v>
      </c>
      <c r="CU14" s="23">
        <f t="shared" si="47"/>
        <v>1</v>
      </c>
      <c r="CV14" s="23">
        <f t="shared" si="48"/>
        <v>1</v>
      </c>
    </row>
    <row r="15" spans="1:111" ht="12" customHeight="1" outlineLevel="1">
      <c r="C15" s="13" t="s">
        <v>60</v>
      </c>
      <c r="D15" s="12" t="s">
        <v>61</v>
      </c>
      <c r="E15" s="12" t="s">
        <v>62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6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6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35">
        <v>0</v>
      </c>
      <c r="AL15" s="35">
        <v>0</v>
      </c>
      <c r="AM15" s="35">
        <v>0</v>
      </c>
      <c r="AN15" s="35">
        <v>0</v>
      </c>
      <c r="AO15" s="36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7">
        <v>0</v>
      </c>
      <c r="AV15" s="35">
        <f>SUM(F15:Q15)</f>
        <v>0</v>
      </c>
      <c r="AW15" s="35">
        <f>SUM(R15:AC15)</f>
        <v>0</v>
      </c>
      <c r="AX15" s="35">
        <f>SUM(AD15:AO15)</f>
        <v>0</v>
      </c>
      <c r="AY15" s="35">
        <f>SUM(AH15:AS15)</f>
        <v>0</v>
      </c>
      <c r="AZ15" s="35">
        <f>SUM(AJ15:AU15)</f>
        <v>0</v>
      </c>
      <c r="BB15" s="23">
        <f t="shared" si="2"/>
        <v>0</v>
      </c>
      <c r="BC15" s="23">
        <f t="shared" si="3"/>
        <v>0</v>
      </c>
      <c r="BD15" s="23">
        <f t="shared" si="4"/>
        <v>0</v>
      </c>
      <c r="BE15" s="23">
        <f t="shared" si="5"/>
        <v>0</v>
      </c>
      <c r="BF15" s="23">
        <f t="shared" si="6"/>
        <v>0</v>
      </c>
      <c r="BG15" s="23">
        <f t="shared" si="7"/>
        <v>0</v>
      </c>
      <c r="BH15" s="23">
        <f t="shared" si="8"/>
        <v>0</v>
      </c>
      <c r="BI15" s="23">
        <f t="shared" si="9"/>
        <v>0</v>
      </c>
      <c r="BJ15" s="23">
        <f t="shared" si="10"/>
        <v>0</v>
      </c>
      <c r="BK15" s="23">
        <f t="shared" si="11"/>
        <v>0</v>
      </c>
      <c r="BL15" s="23">
        <f t="shared" si="12"/>
        <v>0</v>
      </c>
      <c r="BM15" s="24">
        <f t="shared" si="13"/>
        <v>0</v>
      </c>
      <c r="BN15" s="23">
        <f t="shared" si="14"/>
        <v>0</v>
      </c>
      <c r="BO15" s="23">
        <f t="shared" si="15"/>
        <v>0</v>
      </c>
      <c r="BP15" s="23">
        <f t="shared" si="16"/>
        <v>0</v>
      </c>
      <c r="BQ15" s="23">
        <f t="shared" si="17"/>
        <v>0</v>
      </c>
      <c r="BR15" s="23">
        <f t="shared" si="18"/>
        <v>0</v>
      </c>
      <c r="BS15" s="23">
        <f t="shared" si="19"/>
        <v>0</v>
      </c>
      <c r="BT15" s="23">
        <f t="shared" si="20"/>
        <v>0</v>
      </c>
      <c r="BU15" s="23">
        <f t="shared" si="21"/>
        <v>0</v>
      </c>
      <c r="BV15" s="23">
        <f t="shared" si="22"/>
        <v>0</v>
      </c>
      <c r="BW15" s="23">
        <f t="shared" si="23"/>
        <v>0</v>
      </c>
      <c r="BX15" s="23">
        <f t="shared" si="24"/>
        <v>0</v>
      </c>
      <c r="BY15" s="24">
        <f t="shared" si="25"/>
        <v>0</v>
      </c>
      <c r="BZ15" s="23">
        <f t="shared" si="26"/>
        <v>0</v>
      </c>
      <c r="CA15" s="23">
        <f t="shared" si="27"/>
        <v>0</v>
      </c>
      <c r="CB15" s="23">
        <f t="shared" si="28"/>
        <v>0</v>
      </c>
      <c r="CC15" s="23">
        <f t="shared" si="29"/>
        <v>0</v>
      </c>
      <c r="CD15" s="23">
        <f t="shared" si="30"/>
        <v>0</v>
      </c>
      <c r="CE15" s="23">
        <f t="shared" si="31"/>
        <v>0</v>
      </c>
      <c r="CF15" s="23">
        <f t="shared" si="32"/>
        <v>0</v>
      </c>
      <c r="CG15" s="23">
        <f t="shared" si="33"/>
        <v>0</v>
      </c>
      <c r="CH15" s="23">
        <f t="shared" si="34"/>
        <v>0</v>
      </c>
      <c r="CI15" s="23">
        <f t="shared" si="35"/>
        <v>0</v>
      </c>
      <c r="CJ15" s="23">
        <f t="shared" si="36"/>
        <v>0</v>
      </c>
      <c r="CK15" s="24">
        <f t="shared" si="37"/>
        <v>0</v>
      </c>
      <c r="CL15" s="42">
        <f t="shared" si="38"/>
        <v>0</v>
      </c>
      <c r="CM15" s="42">
        <f t="shared" si="39"/>
        <v>0</v>
      </c>
      <c r="CN15" s="42">
        <f t="shared" si="40"/>
        <v>0</v>
      </c>
      <c r="CO15" s="42">
        <f t="shared" si="41"/>
        <v>0</v>
      </c>
      <c r="CP15" s="42">
        <f t="shared" si="42"/>
        <v>0</v>
      </c>
      <c r="CQ15" s="90">
        <f t="shared" si="43"/>
        <v>0</v>
      </c>
      <c r="CR15" s="23">
        <f t="shared" si="44"/>
        <v>0</v>
      </c>
      <c r="CS15" s="23">
        <f t="shared" si="45"/>
        <v>0</v>
      </c>
      <c r="CT15" s="23">
        <f t="shared" si="46"/>
        <v>0</v>
      </c>
      <c r="CU15" s="23">
        <f t="shared" si="47"/>
        <v>0</v>
      </c>
      <c r="CV15" s="23">
        <f t="shared" si="48"/>
        <v>0</v>
      </c>
    </row>
    <row r="16" spans="1:111" ht="12" customHeight="1" outlineLevel="1">
      <c r="C16" s="13" t="s">
        <v>63</v>
      </c>
      <c r="D16" s="12" t="s">
        <v>64</v>
      </c>
      <c r="E16" s="12" t="s">
        <v>65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6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6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5">
        <v>0</v>
      </c>
      <c r="AK16" s="35">
        <v>0</v>
      </c>
      <c r="AL16" s="35">
        <v>0</v>
      </c>
      <c r="AM16" s="35">
        <v>0</v>
      </c>
      <c r="AN16" s="35">
        <v>0</v>
      </c>
      <c r="AO16" s="36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7">
        <v>0</v>
      </c>
      <c r="AV16" s="35">
        <f>SUM(F16:Q16)</f>
        <v>0</v>
      </c>
      <c r="AW16" s="35">
        <f>SUM(R16:AC16)</f>
        <v>0</v>
      </c>
      <c r="AX16" s="35">
        <f>SUM(AD16:AO16)</f>
        <v>0</v>
      </c>
      <c r="AY16" s="35">
        <f>SUM(AH16:AS16)</f>
        <v>0</v>
      </c>
      <c r="AZ16" s="35">
        <f>SUM(AJ16:AU16)</f>
        <v>0</v>
      </c>
      <c r="BB16" s="23">
        <f t="shared" si="2"/>
        <v>0</v>
      </c>
      <c r="BC16" s="23">
        <f t="shared" si="3"/>
        <v>0</v>
      </c>
      <c r="BD16" s="23">
        <f t="shared" si="4"/>
        <v>0</v>
      </c>
      <c r="BE16" s="23">
        <f t="shared" si="5"/>
        <v>0</v>
      </c>
      <c r="BF16" s="23">
        <f t="shared" si="6"/>
        <v>0</v>
      </c>
      <c r="BG16" s="23">
        <f t="shared" si="7"/>
        <v>0</v>
      </c>
      <c r="BH16" s="23">
        <f t="shared" si="8"/>
        <v>0</v>
      </c>
      <c r="BI16" s="23">
        <f t="shared" si="9"/>
        <v>0</v>
      </c>
      <c r="BJ16" s="23">
        <f t="shared" si="10"/>
        <v>0</v>
      </c>
      <c r="BK16" s="23">
        <f t="shared" si="11"/>
        <v>0</v>
      </c>
      <c r="BL16" s="23">
        <f t="shared" si="12"/>
        <v>0</v>
      </c>
      <c r="BM16" s="24">
        <f t="shared" si="13"/>
        <v>0</v>
      </c>
      <c r="BN16" s="23">
        <f t="shared" si="14"/>
        <v>0</v>
      </c>
      <c r="BO16" s="23">
        <f t="shared" si="15"/>
        <v>0</v>
      </c>
      <c r="BP16" s="23">
        <f t="shared" si="16"/>
        <v>0</v>
      </c>
      <c r="BQ16" s="23">
        <f t="shared" si="17"/>
        <v>0</v>
      </c>
      <c r="BR16" s="23">
        <f t="shared" si="18"/>
        <v>0</v>
      </c>
      <c r="BS16" s="23">
        <f t="shared" si="19"/>
        <v>0</v>
      </c>
      <c r="BT16" s="23">
        <f t="shared" si="20"/>
        <v>0</v>
      </c>
      <c r="BU16" s="23">
        <f t="shared" si="21"/>
        <v>0</v>
      </c>
      <c r="BV16" s="23">
        <f t="shared" si="22"/>
        <v>0</v>
      </c>
      <c r="BW16" s="23">
        <f t="shared" si="23"/>
        <v>0</v>
      </c>
      <c r="BX16" s="23">
        <f t="shared" si="24"/>
        <v>0</v>
      </c>
      <c r="BY16" s="24">
        <f t="shared" si="25"/>
        <v>0</v>
      </c>
      <c r="BZ16" s="23">
        <f t="shared" si="26"/>
        <v>0</v>
      </c>
      <c r="CA16" s="23">
        <f t="shared" si="27"/>
        <v>0</v>
      </c>
      <c r="CB16" s="23">
        <f t="shared" si="28"/>
        <v>0</v>
      </c>
      <c r="CC16" s="23">
        <f t="shared" si="29"/>
        <v>0</v>
      </c>
      <c r="CD16" s="23">
        <f t="shared" si="30"/>
        <v>0</v>
      </c>
      <c r="CE16" s="23">
        <f t="shared" si="31"/>
        <v>0</v>
      </c>
      <c r="CF16" s="23">
        <f t="shared" si="32"/>
        <v>0</v>
      </c>
      <c r="CG16" s="23">
        <f t="shared" si="33"/>
        <v>0</v>
      </c>
      <c r="CH16" s="23">
        <f t="shared" si="34"/>
        <v>0</v>
      </c>
      <c r="CI16" s="23">
        <f t="shared" si="35"/>
        <v>0</v>
      </c>
      <c r="CJ16" s="23">
        <f t="shared" si="36"/>
        <v>0</v>
      </c>
      <c r="CK16" s="24">
        <f t="shared" si="37"/>
        <v>0</v>
      </c>
      <c r="CL16" s="42">
        <f t="shared" si="38"/>
        <v>0</v>
      </c>
      <c r="CM16" s="42">
        <f t="shared" si="39"/>
        <v>0</v>
      </c>
      <c r="CN16" s="42">
        <f t="shared" si="40"/>
        <v>0</v>
      </c>
      <c r="CO16" s="42">
        <f t="shared" si="41"/>
        <v>0</v>
      </c>
      <c r="CP16" s="42">
        <f t="shared" si="42"/>
        <v>0</v>
      </c>
      <c r="CQ16" s="90">
        <f t="shared" si="43"/>
        <v>0</v>
      </c>
      <c r="CR16" s="23">
        <f t="shared" si="44"/>
        <v>0</v>
      </c>
      <c r="CS16" s="23">
        <f t="shared" si="45"/>
        <v>0</v>
      </c>
      <c r="CT16" s="23">
        <f t="shared" si="46"/>
        <v>0</v>
      </c>
      <c r="CU16" s="23">
        <f t="shared" si="47"/>
        <v>0</v>
      </c>
      <c r="CV16" s="23">
        <f t="shared" si="48"/>
        <v>0</v>
      </c>
    </row>
    <row r="17" spans="3:100" ht="12" customHeight="1" outlineLevel="1">
      <c r="C17" s="13" t="s">
        <v>66</v>
      </c>
      <c r="D17" s="12" t="s">
        <v>67</v>
      </c>
      <c r="E17" s="12" t="s">
        <v>68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6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6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6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7">
        <v>0</v>
      </c>
      <c r="AV17" s="35">
        <f>SUM(F17:Q17)</f>
        <v>0</v>
      </c>
      <c r="AW17" s="35">
        <f>SUM(R17:AC17)</f>
        <v>0</v>
      </c>
      <c r="AX17" s="35">
        <f>SUM(AD17:AO17)</f>
        <v>0</v>
      </c>
      <c r="AY17" s="35">
        <f>SUM(AH17:AS17)</f>
        <v>0</v>
      </c>
      <c r="AZ17" s="35">
        <f>SUM(AJ17:AU17)</f>
        <v>0</v>
      </c>
      <c r="BB17" s="23">
        <f t="shared" si="2"/>
        <v>0</v>
      </c>
      <c r="BC17" s="23">
        <f t="shared" si="3"/>
        <v>0</v>
      </c>
      <c r="BD17" s="23">
        <f t="shared" si="4"/>
        <v>0</v>
      </c>
      <c r="BE17" s="23">
        <f t="shared" si="5"/>
        <v>0</v>
      </c>
      <c r="BF17" s="23">
        <f t="shared" si="6"/>
        <v>0</v>
      </c>
      <c r="BG17" s="23">
        <f t="shared" si="7"/>
        <v>0</v>
      </c>
      <c r="BH17" s="23">
        <f t="shared" si="8"/>
        <v>0</v>
      </c>
      <c r="BI17" s="23">
        <f t="shared" si="9"/>
        <v>0</v>
      </c>
      <c r="BJ17" s="23">
        <f t="shared" si="10"/>
        <v>0</v>
      </c>
      <c r="BK17" s="23">
        <f t="shared" si="11"/>
        <v>0</v>
      </c>
      <c r="BL17" s="23">
        <f t="shared" si="12"/>
        <v>0</v>
      </c>
      <c r="BM17" s="24">
        <f t="shared" si="13"/>
        <v>0</v>
      </c>
      <c r="BN17" s="23">
        <f t="shared" si="14"/>
        <v>0</v>
      </c>
      <c r="BO17" s="23">
        <f t="shared" si="15"/>
        <v>0</v>
      </c>
      <c r="BP17" s="23">
        <f t="shared" si="16"/>
        <v>0</v>
      </c>
      <c r="BQ17" s="23">
        <f t="shared" si="17"/>
        <v>0</v>
      </c>
      <c r="BR17" s="23">
        <f t="shared" si="18"/>
        <v>0</v>
      </c>
      <c r="BS17" s="23">
        <f t="shared" si="19"/>
        <v>0</v>
      </c>
      <c r="BT17" s="23">
        <f t="shared" si="20"/>
        <v>0</v>
      </c>
      <c r="BU17" s="23">
        <f t="shared" si="21"/>
        <v>0</v>
      </c>
      <c r="BV17" s="23">
        <f t="shared" si="22"/>
        <v>0</v>
      </c>
      <c r="BW17" s="23">
        <f t="shared" si="23"/>
        <v>0</v>
      </c>
      <c r="BX17" s="23">
        <f t="shared" si="24"/>
        <v>0</v>
      </c>
      <c r="BY17" s="24">
        <f t="shared" si="25"/>
        <v>0</v>
      </c>
      <c r="BZ17" s="23">
        <f t="shared" si="26"/>
        <v>0</v>
      </c>
      <c r="CA17" s="23">
        <f t="shared" si="27"/>
        <v>0</v>
      </c>
      <c r="CB17" s="23">
        <f t="shared" si="28"/>
        <v>0</v>
      </c>
      <c r="CC17" s="23">
        <f t="shared" si="29"/>
        <v>0</v>
      </c>
      <c r="CD17" s="23">
        <f t="shared" si="30"/>
        <v>0</v>
      </c>
      <c r="CE17" s="23">
        <f t="shared" si="31"/>
        <v>0</v>
      </c>
      <c r="CF17" s="23">
        <f t="shared" si="32"/>
        <v>0</v>
      </c>
      <c r="CG17" s="23">
        <f t="shared" si="33"/>
        <v>0</v>
      </c>
      <c r="CH17" s="23">
        <f t="shared" si="34"/>
        <v>0</v>
      </c>
      <c r="CI17" s="23">
        <f t="shared" si="35"/>
        <v>0</v>
      </c>
      <c r="CJ17" s="23">
        <f t="shared" si="36"/>
        <v>0</v>
      </c>
      <c r="CK17" s="24">
        <f t="shared" si="37"/>
        <v>0</v>
      </c>
      <c r="CL17" s="42">
        <f t="shared" si="38"/>
        <v>0</v>
      </c>
      <c r="CM17" s="42">
        <f t="shared" si="39"/>
        <v>0</v>
      </c>
      <c r="CN17" s="42">
        <f t="shared" si="40"/>
        <v>0</v>
      </c>
      <c r="CO17" s="42">
        <f t="shared" si="41"/>
        <v>0</v>
      </c>
      <c r="CP17" s="42">
        <f t="shared" si="42"/>
        <v>0</v>
      </c>
      <c r="CQ17" s="90">
        <f t="shared" si="43"/>
        <v>0</v>
      </c>
      <c r="CR17" s="23">
        <f t="shared" si="44"/>
        <v>0</v>
      </c>
      <c r="CS17" s="23">
        <f t="shared" si="45"/>
        <v>0</v>
      </c>
      <c r="CT17" s="23">
        <f t="shared" si="46"/>
        <v>0</v>
      </c>
      <c r="CU17" s="23">
        <f t="shared" si="47"/>
        <v>0</v>
      </c>
      <c r="CV17" s="23">
        <f t="shared" si="48"/>
        <v>0</v>
      </c>
    </row>
    <row r="18" spans="3:100" ht="12" customHeight="1" outlineLevel="1">
      <c r="C18" s="15" t="s">
        <v>69</v>
      </c>
      <c r="D18" s="16" t="s">
        <v>70</v>
      </c>
      <c r="E18" s="16" t="s">
        <v>71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9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9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38">
        <v>0</v>
      </c>
      <c r="AM18" s="38">
        <v>0</v>
      </c>
      <c r="AN18" s="38">
        <v>0</v>
      </c>
      <c r="AO18" s="39">
        <v>0</v>
      </c>
      <c r="AP18" s="38">
        <v>0</v>
      </c>
      <c r="AQ18" s="38">
        <v>0</v>
      </c>
      <c r="AR18" s="38">
        <v>0</v>
      </c>
      <c r="AS18" s="38">
        <v>0</v>
      </c>
      <c r="AT18" s="38">
        <v>0</v>
      </c>
      <c r="AU18" s="40">
        <v>0</v>
      </c>
      <c r="AV18" s="38">
        <f>SUM(F18:Q18)</f>
        <v>0</v>
      </c>
      <c r="AW18" s="38">
        <f>SUM(R18:AC18)</f>
        <v>0</v>
      </c>
      <c r="AX18" s="38">
        <f>SUM(AD18:AO18)</f>
        <v>0</v>
      </c>
      <c r="AY18" s="38">
        <f>SUM(AH18:AS18)</f>
        <v>0</v>
      </c>
      <c r="AZ18" s="38">
        <f>SUM(AJ18:AU18)</f>
        <v>0</v>
      </c>
      <c r="BB18" s="25">
        <f t="shared" si="2"/>
        <v>0</v>
      </c>
      <c r="BC18" s="25">
        <f t="shared" si="3"/>
        <v>0</v>
      </c>
      <c r="BD18" s="25">
        <f t="shared" si="4"/>
        <v>0</v>
      </c>
      <c r="BE18" s="25">
        <f t="shared" si="5"/>
        <v>0</v>
      </c>
      <c r="BF18" s="25">
        <f t="shared" si="6"/>
        <v>0</v>
      </c>
      <c r="BG18" s="25">
        <f t="shared" si="7"/>
        <v>0</v>
      </c>
      <c r="BH18" s="25">
        <f t="shared" si="8"/>
        <v>0</v>
      </c>
      <c r="BI18" s="25">
        <f t="shared" si="9"/>
        <v>0</v>
      </c>
      <c r="BJ18" s="25">
        <f t="shared" si="10"/>
        <v>0</v>
      </c>
      <c r="BK18" s="25">
        <f t="shared" si="11"/>
        <v>0</v>
      </c>
      <c r="BL18" s="25">
        <f t="shared" si="12"/>
        <v>0</v>
      </c>
      <c r="BM18" s="26">
        <f t="shared" si="13"/>
        <v>0</v>
      </c>
      <c r="BN18" s="25">
        <f t="shared" si="14"/>
        <v>0</v>
      </c>
      <c r="BO18" s="25">
        <f t="shared" si="15"/>
        <v>0</v>
      </c>
      <c r="BP18" s="25">
        <f t="shared" si="16"/>
        <v>0</v>
      </c>
      <c r="BQ18" s="25">
        <f t="shared" si="17"/>
        <v>0</v>
      </c>
      <c r="BR18" s="25">
        <f t="shared" si="18"/>
        <v>0</v>
      </c>
      <c r="BS18" s="25">
        <f t="shared" si="19"/>
        <v>0</v>
      </c>
      <c r="BT18" s="25">
        <f t="shared" si="20"/>
        <v>0</v>
      </c>
      <c r="BU18" s="25">
        <f t="shared" si="21"/>
        <v>0</v>
      </c>
      <c r="BV18" s="25">
        <f t="shared" si="22"/>
        <v>0</v>
      </c>
      <c r="BW18" s="25">
        <f t="shared" si="23"/>
        <v>0</v>
      </c>
      <c r="BX18" s="25">
        <f t="shared" si="24"/>
        <v>0</v>
      </c>
      <c r="BY18" s="26">
        <f t="shared" si="25"/>
        <v>0</v>
      </c>
      <c r="BZ18" s="25">
        <f t="shared" si="26"/>
        <v>0</v>
      </c>
      <c r="CA18" s="25">
        <f t="shared" si="27"/>
        <v>0</v>
      </c>
      <c r="CB18" s="25">
        <f t="shared" si="28"/>
        <v>0</v>
      </c>
      <c r="CC18" s="25">
        <f t="shared" si="29"/>
        <v>0</v>
      </c>
      <c r="CD18" s="25">
        <f t="shared" si="30"/>
        <v>0</v>
      </c>
      <c r="CE18" s="25">
        <f t="shared" si="31"/>
        <v>0</v>
      </c>
      <c r="CF18" s="25">
        <f t="shared" si="32"/>
        <v>0</v>
      </c>
      <c r="CG18" s="25">
        <f t="shared" si="33"/>
        <v>0</v>
      </c>
      <c r="CH18" s="25">
        <f t="shared" si="34"/>
        <v>0</v>
      </c>
      <c r="CI18" s="25">
        <f t="shared" si="35"/>
        <v>0</v>
      </c>
      <c r="CJ18" s="25">
        <f t="shared" si="36"/>
        <v>0</v>
      </c>
      <c r="CK18" s="26">
        <f t="shared" si="37"/>
        <v>0</v>
      </c>
      <c r="CL18" s="43">
        <f t="shared" si="38"/>
        <v>0</v>
      </c>
      <c r="CM18" s="43">
        <f t="shared" si="39"/>
        <v>0</v>
      </c>
      <c r="CN18" s="43">
        <f t="shared" si="40"/>
        <v>0</v>
      </c>
      <c r="CO18" s="43">
        <f t="shared" si="41"/>
        <v>0</v>
      </c>
      <c r="CP18" s="43">
        <f t="shared" si="42"/>
        <v>0</v>
      </c>
      <c r="CQ18" s="91">
        <f t="shared" si="43"/>
        <v>0</v>
      </c>
      <c r="CR18" s="25">
        <f t="shared" si="44"/>
        <v>0</v>
      </c>
      <c r="CS18" s="25">
        <f t="shared" si="45"/>
        <v>0</v>
      </c>
      <c r="CT18" s="25">
        <f t="shared" si="46"/>
        <v>0</v>
      </c>
      <c r="CU18" s="25">
        <f t="shared" si="47"/>
        <v>0</v>
      </c>
      <c r="CV18" s="25">
        <f t="shared" si="48"/>
        <v>0</v>
      </c>
    </row>
    <row r="19" spans="3:100" ht="12" customHeight="1">
      <c r="C19" s="14" t="s">
        <v>11</v>
      </c>
      <c r="D19" s="12"/>
      <c r="E19" s="12"/>
      <c r="F19" s="35">
        <f t="shared" ref="F19:AZ19" si="50">SUM(F15:F18)</f>
        <v>0</v>
      </c>
      <c r="G19" s="35">
        <f t="shared" si="50"/>
        <v>0</v>
      </c>
      <c r="H19" s="35">
        <f t="shared" si="50"/>
        <v>0</v>
      </c>
      <c r="I19" s="35">
        <f t="shared" si="50"/>
        <v>0</v>
      </c>
      <c r="J19" s="35">
        <f t="shared" si="50"/>
        <v>0</v>
      </c>
      <c r="K19" s="35">
        <f t="shared" si="50"/>
        <v>0</v>
      </c>
      <c r="L19" s="35">
        <f t="shared" si="50"/>
        <v>0</v>
      </c>
      <c r="M19" s="35">
        <f t="shared" si="50"/>
        <v>0</v>
      </c>
      <c r="N19" s="35">
        <f t="shared" si="50"/>
        <v>0</v>
      </c>
      <c r="O19" s="35">
        <f t="shared" si="50"/>
        <v>0</v>
      </c>
      <c r="P19" s="35">
        <f t="shared" si="50"/>
        <v>0</v>
      </c>
      <c r="Q19" s="36">
        <f t="shared" si="50"/>
        <v>0</v>
      </c>
      <c r="R19" s="35">
        <f t="shared" si="50"/>
        <v>0</v>
      </c>
      <c r="S19" s="35">
        <f t="shared" si="50"/>
        <v>0</v>
      </c>
      <c r="T19" s="35">
        <f t="shared" si="50"/>
        <v>0</v>
      </c>
      <c r="U19" s="35">
        <f t="shared" si="50"/>
        <v>0</v>
      </c>
      <c r="V19" s="35">
        <f t="shared" si="50"/>
        <v>0</v>
      </c>
      <c r="W19" s="35">
        <f t="shared" si="50"/>
        <v>0</v>
      </c>
      <c r="X19" s="35">
        <f t="shared" si="50"/>
        <v>0</v>
      </c>
      <c r="Y19" s="35">
        <f t="shared" si="50"/>
        <v>0</v>
      </c>
      <c r="Z19" s="35">
        <f t="shared" si="50"/>
        <v>0</v>
      </c>
      <c r="AA19" s="35">
        <f t="shared" si="50"/>
        <v>0</v>
      </c>
      <c r="AB19" s="35">
        <f t="shared" si="50"/>
        <v>0</v>
      </c>
      <c r="AC19" s="36">
        <f t="shared" si="50"/>
        <v>0</v>
      </c>
      <c r="AD19" s="35">
        <f t="shared" si="50"/>
        <v>0</v>
      </c>
      <c r="AE19" s="35">
        <f t="shared" si="50"/>
        <v>0</v>
      </c>
      <c r="AF19" s="35">
        <f t="shared" si="50"/>
        <v>0</v>
      </c>
      <c r="AG19" s="35">
        <f t="shared" si="50"/>
        <v>0</v>
      </c>
      <c r="AH19" s="35">
        <f t="shared" si="50"/>
        <v>0</v>
      </c>
      <c r="AI19" s="35">
        <f t="shared" si="50"/>
        <v>0</v>
      </c>
      <c r="AJ19" s="35">
        <f t="shared" si="50"/>
        <v>0</v>
      </c>
      <c r="AK19" s="35">
        <f t="shared" si="50"/>
        <v>0</v>
      </c>
      <c r="AL19" s="35">
        <f t="shared" si="50"/>
        <v>0</v>
      </c>
      <c r="AM19" s="35">
        <f t="shared" si="50"/>
        <v>0</v>
      </c>
      <c r="AN19" s="35">
        <f t="shared" si="50"/>
        <v>0</v>
      </c>
      <c r="AO19" s="36">
        <f t="shared" si="50"/>
        <v>0</v>
      </c>
      <c r="AP19" s="35">
        <f t="shared" si="50"/>
        <v>0</v>
      </c>
      <c r="AQ19" s="35">
        <f t="shared" si="50"/>
        <v>0</v>
      </c>
      <c r="AR19" s="35">
        <f t="shared" si="50"/>
        <v>0</v>
      </c>
      <c r="AS19" s="35">
        <f t="shared" si="50"/>
        <v>0</v>
      </c>
      <c r="AT19" s="35">
        <f t="shared" si="50"/>
        <v>0</v>
      </c>
      <c r="AU19" s="37">
        <f t="shared" si="50"/>
        <v>0</v>
      </c>
      <c r="AV19" s="35">
        <f t="shared" si="50"/>
        <v>0</v>
      </c>
      <c r="AW19" s="35">
        <f t="shared" si="50"/>
        <v>0</v>
      </c>
      <c r="AX19" s="35">
        <f t="shared" si="50"/>
        <v>0</v>
      </c>
      <c r="AY19" s="35">
        <f t="shared" si="50"/>
        <v>0</v>
      </c>
      <c r="AZ19" s="35">
        <f t="shared" si="50"/>
        <v>0</v>
      </c>
      <c r="BB19" s="23">
        <f t="shared" si="2"/>
        <v>0</v>
      </c>
      <c r="BC19" s="23">
        <f t="shared" si="3"/>
        <v>0</v>
      </c>
      <c r="BD19" s="23">
        <f t="shared" si="4"/>
        <v>0</v>
      </c>
      <c r="BE19" s="23">
        <f t="shared" si="5"/>
        <v>0</v>
      </c>
      <c r="BF19" s="23">
        <f t="shared" si="6"/>
        <v>0</v>
      </c>
      <c r="BG19" s="23">
        <f t="shared" si="7"/>
        <v>0</v>
      </c>
      <c r="BH19" s="23">
        <f t="shared" si="8"/>
        <v>0</v>
      </c>
      <c r="BI19" s="23">
        <f t="shared" si="9"/>
        <v>0</v>
      </c>
      <c r="BJ19" s="23">
        <f t="shared" si="10"/>
        <v>0</v>
      </c>
      <c r="BK19" s="23">
        <f t="shared" si="11"/>
        <v>0</v>
      </c>
      <c r="BL19" s="23">
        <f t="shared" si="12"/>
        <v>0</v>
      </c>
      <c r="BM19" s="24">
        <f t="shared" si="13"/>
        <v>0</v>
      </c>
      <c r="BN19" s="23">
        <f t="shared" si="14"/>
        <v>0</v>
      </c>
      <c r="BO19" s="23">
        <f t="shared" si="15"/>
        <v>0</v>
      </c>
      <c r="BP19" s="23">
        <f t="shared" si="16"/>
        <v>0</v>
      </c>
      <c r="BQ19" s="23">
        <f t="shared" si="17"/>
        <v>0</v>
      </c>
      <c r="BR19" s="23">
        <f t="shared" si="18"/>
        <v>0</v>
      </c>
      <c r="BS19" s="23">
        <f t="shared" si="19"/>
        <v>0</v>
      </c>
      <c r="BT19" s="23">
        <f t="shared" si="20"/>
        <v>0</v>
      </c>
      <c r="BU19" s="23">
        <f t="shared" si="21"/>
        <v>0</v>
      </c>
      <c r="BV19" s="23">
        <f t="shared" si="22"/>
        <v>0</v>
      </c>
      <c r="BW19" s="23">
        <f t="shared" si="23"/>
        <v>0</v>
      </c>
      <c r="BX19" s="23">
        <f t="shared" si="24"/>
        <v>0</v>
      </c>
      <c r="BY19" s="24">
        <f t="shared" si="25"/>
        <v>0</v>
      </c>
      <c r="BZ19" s="23">
        <f t="shared" si="26"/>
        <v>0</v>
      </c>
      <c r="CA19" s="23">
        <f t="shared" si="27"/>
        <v>0</v>
      </c>
      <c r="CB19" s="23">
        <f t="shared" si="28"/>
        <v>0</v>
      </c>
      <c r="CC19" s="23">
        <f t="shared" si="29"/>
        <v>0</v>
      </c>
      <c r="CD19" s="23">
        <f t="shared" si="30"/>
        <v>0</v>
      </c>
      <c r="CE19" s="23">
        <f t="shared" si="31"/>
        <v>0</v>
      </c>
      <c r="CF19" s="23">
        <f t="shared" si="32"/>
        <v>0</v>
      </c>
      <c r="CG19" s="23">
        <f t="shared" si="33"/>
        <v>0</v>
      </c>
      <c r="CH19" s="23">
        <f t="shared" si="34"/>
        <v>0</v>
      </c>
      <c r="CI19" s="23">
        <f t="shared" si="35"/>
        <v>0</v>
      </c>
      <c r="CJ19" s="23">
        <f t="shared" si="36"/>
        <v>0</v>
      </c>
      <c r="CK19" s="24">
        <f t="shared" si="37"/>
        <v>0</v>
      </c>
      <c r="CL19" s="42">
        <f t="shared" si="38"/>
        <v>0</v>
      </c>
      <c r="CM19" s="42">
        <f t="shared" si="39"/>
        <v>0</v>
      </c>
      <c r="CN19" s="42">
        <f t="shared" si="40"/>
        <v>0</v>
      </c>
      <c r="CO19" s="42">
        <f t="shared" si="41"/>
        <v>0</v>
      </c>
      <c r="CP19" s="42">
        <f t="shared" si="42"/>
        <v>0</v>
      </c>
      <c r="CQ19" s="90">
        <f t="shared" si="43"/>
        <v>0</v>
      </c>
      <c r="CR19" s="23">
        <f t="shared" si="44"/>
        <v>0</v>
      </c>
      <c r="CS19" s="23">
        <f t="shared" si="45"/>
        <v>0</v>
      </c>
      <c r="CT19" s="23">
        <f t="shared" si="46"/>
        <v>0</v>
      </c>
      <c r="CU19" s="23">
        <f t="shared" si="47"/>
        <v>0</v>
      </c>
      <c r="CV19" s="23">
        <f t="shared" si="48"/>
        <v>0</v>
      </c>
    </row>
    <row r="20" spans="3:100" ht="12" customHeight="1" outlineLevel="1">
      <c r="C20" s="13" t="s">
        <v>60</v>
      </c>
      <c r="D20" s="12" t="s">
        <v>61</v>
      </c>
      <c r="E20" s="12" t="s">
        <v>62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6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6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0</v>
      </c>
      <c r="AO20" s="36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7">
        <v>0</v>
      </c>
      <c r="AV20" s="35">
        <f>SUM(F20:Q20)</f>
        <v>0</v>
      </c>
      <c r="AW20" s="35">
        <f>SUM(R20:AC20)</f>
        <v>0</v>
      </c>
      <c r="AX20" s="35">
        <f>SUM(AD20:AO20)</f>
        <v>0</v>
      </c>
      <c r="AY20" s="35">
        <f>SUM(AH20:AS20)</f>
        <v>0</v>
      </c>
      <c r="AZ20" s="35">
        <f>SUM(AJ20:AU20)</f>
        <v>0</v>
      </c>
      <c r="BB20" s="23">
        <f t="shared" si="2"/>
        <v>0</v>
      </c>
      <c r="BC20" s="23">
        <f t="shared" si="3"/>
        <v>0</v>
      </c>
      <c r="BD20" s="23">
        <f t="shared" si="4"/>
        <v>0</v>
      </c>
      <c r="BE20" s="23">
        <f t="shared" si="5"/>
        <v>0</v>
      </c>
      <c r="BF20" s="23">
        <f t="shared" si="6"/>
        <v>0</v>
      </c>
      <c r="BG20" s="23">
        <f t="shared" si="7"/>
        <v>0</v>
      </c>
      <c r="BH20" s="23">
        <f t="shared" si="8"/>
        <v>0</v>
      </c>
      <c r="BI20" s="23">
        <f t="shared" si="9"/>
        <v>0</v>
      </c>
      <c r="BJ20" s="23">
        <f t="shared" si="10"/>
        <v>0</v>
      </c>
      <c r="BK20" s="23">
        <f t="shared" si="11"/>
        <v>0</v>
      </c>
      <c r="BL20" s="23">
        <f t="shared" si="12"/>
        <v>0</v>
      </c>
      <c r="BM20" s="24">
        <f t="shared" si="13"/>
        <v>0</v>
      </c>
      <c r="BN20" s="23">
        <f t="shared" si="14"/>
        <v>0</v>
      </c>
      <c r="BO20" s="23">
        <f t="shared" si="15"/>
        <v>0</v>
      </c>
      <c r="BP20" s="23">
        <f t="shared" si="16"/>
        <v>0</v>
      </c>
      <c r="BQ20" s="23">
        <f t="shared" si="17"/>
        <v>0</v>
      </c>
      <c r="BR20" s="23">
        <f t="shared" si="18"/>
        <v>0</v>
      </c>
      <c r="BS20" s="23">
        <f t="shared" si="19"/>
        <v>0</v>
      </c>
      <c r="BT20" s="23">
        <f t="shared" si="20"/>
        <v>0</v>
      </c>
      <c r="BU20" s="23">
        <f t="shared" si="21"/>
        <v>0</v>
      </c>
      <c r="BV20" s="23">
        <f t="shared" si="22"/>
        <v>0</v>
      </c>
      <c r="BW20" s="23">
        <f t="shared" si="23"/>
        <v>0</v>
      </c>
      <c r="BX20" s="23">
        <f t="shared" si="24"/>
        <v>0</v>
      </c>
      <c r="BY20" s="24">
        <f t="shared" si="25"/>
        <v>0</v>
      </c>
      <c r="BZ20" s="23">
        <f t="shared" si="26"/>
        <v>0</v>
      </c>
      <c r="CA20" s="23">
        <f t="shared" si="27"/>
        <v>0</v>
      </c>
      <c r="CB20" s="23">
        <f t="shared" si="28"/>
        <v>0</v>
      </c>
      <c r="CC20" s="23">
        <f t="shared" si="29"/>
        <v>0</v>
      </c>
      <c r="CD20" s="23">
        <f t="shared" si="30"/>
        <v>0</v>
      </c>
      <c r="CE20" s="23">
        <f t="shared" si="31"/>
        <v>0</v>
      </c>
      <c r="CF20" s="23">
        <f t="shared" si="32"/>
        <v>0</v>
      </c>
      <c r="CG20" s="23">
        <f t="shared" si="33"/>
        <v>0</v>
      </c>
      <c r="CH20" s="23">
        <f t="shared" si="34"/>
        <v>0</v>
      </c>
      <c r="CI20" s="23">
        <f t="shared" si="35"/>
        <v>0</v>
      </c>
      <c r="CJ20" s="23">
        <f t="shared" si="36"/>
        <v>0</v>
      </c>
      <c r="CK20" s="24">
        <f t="shared" si="37"/>
        <v>0</v>
      </c>
      <c r="CL20" s="42">
        <f t="shared" si="38"/>
        <v>0</v>
      </c>
      <c r="CM20" s="42">
        <f t="shared" si="39"/>
        <v>0</v>
      </c>
      <c r="CN20" s="42">
        <f t="shared" si="40"/>
        <v>0</v>
      </c>
      <c r="CO20" s="42">
        <f t="shared" si="41"/>
        <v>0</v>
      </c>
      <c r="CP20" s="42">
        <f t="shared" si="42"/>
        <v>0</v>
      </c>
      <c r="CQ20" s="90">
        <f t="shared" si="43"/>
        <v>0</v>
      </c>
      <c r="CR20" s="23">
        <f t="shared" si="44"/>
        <v>0</v>
      </c>
      <c r="CS20" s="23">
        <f t="shared" si="45"/>
        <v>0</v>
      </c>
      <c r="CT20" s="23">
        <f t="shared" si="46"/>
        <v>0</v>
      </c>
      <c r="CU20" s="23">
        <f t="shared" si="47"/>
        <v>0</v>
      </c>
      <c r="CV20" s="23">
        <f t="shared" si="48"/>
        <v>0</v>
      </c>
    </row>
    <row r="21" spans="3:100" ht="12" customHeight="1" outlineLevel="1">
      <c r="C21" s="13" t="s">
        <v>63</v>
      </c>
      <c r="D21" s="12" t="s">
        <v>64</v>
      </c>
      <c r="E21" s="12" t="s">
        <v>65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6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6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6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7">
        <v>0</v>
      </c>
      <c r="AV21" s="35">
        <f>SUM(F21:Q21)</f>
        <v>0</v>
      </c>
      <c r="AW21" s="35">
        <f>SUM(R21:AC21)</f>
        <v>0</v>
      </c>
      <c r="AX21" s="35">
        <f>SUM(AD21:AO21)</f>
        <v>0</v>
      </c>
      <c r="AY21" s="35">
        <f>SUM(AH21:AS21)</f>
        <v>0</v>
      </c>
      <c r="AZ21" s="35">
        <f>SUM(AJ21:AU21)</f>
        <v>0</v>
      </c>
      <c r="BB21" s="23">
        <f t="shared" si="2"/>
        <v>0</v>
      </c>
      <c r="BC21" s="23">
        <f t="shared" si="3"/>
        <v>0</v>
      </c>
      <c r="BD21" s="23">
        <f t="shared" si="4"/>
        <v>0</v>
      </c>
      <c r="BE21" s="23">
        <f t="shared" si="5"/>
        <v>0</v>
      </c>
      <c r="BF21" s="23">
        <f t="shared" si="6"/>
        <v>0</v>
      </c>
      <c r="BG21" s="23">
        <f t="shared" si="7"/>
        <v>0</v>
      </c>
      <c r="BH21" s="23">
        <f t="shared" si="8"/>
        <v>0</v>
      </c>
      <c r="BI21" s="23">
        <f t="shared" si="9"/>
        <v>0</v>
      </c>
      <c r="BJ21" s="23">
        <f t="shared" si="10"/>
        <v>0</v>
      </c>
      <c r="BK21" s="23">
        <f t="shared" si="11"/>
        <v>0</v>
      </c>
      <c r="BL21" s="23">
        <f t="shared" si="12"/>
        <v>0</v>
      </c>
      <c r="BM21" s="24">
        <f t="shared" si="13"/>
        <v>0</v>
      </c>
      <c r="BN21" s="23">
        <f t="shared" si="14"/>
        <v>0</v>
      </c>
      <c r="BO21" s="23">
        <f t="shared" si="15"/>
        <v>0</v>
      </c>
      <c r="BP21" s="23">
        <f t="shared" si="16"/>
        <v>0</v>
      </c>
      <c r="BQ21" s="23">
        <f t="shared" si="17"/>
        <v>0</v>
      </c>
      <c r="BR21" s="23">
        <f t="shared" si="18"/>
        <v>0</v>
      </c>
      <c r="BS21" s="23">
        <f t="shared" si="19"/>
        <v>0</v>
      </c>
      <c r="BT21" s="23">
        <f t="shared" si="20"/>
        <v>0</v>
      </c>
      <c r="BU21" s="23">
        <f t="shared" si="21"/>
        <v>0</v>
      </c>
      <c r="BV21" s="23">
        <f t="shared" si="22"/>
        <v>0</v>
      </c>
      <c r="BW21" s="23">
        <f t="shared" si="23"/>
        <v>0</v>
      </c>
      <c r="BX21" s="23">
        <f t="shared" si="24"/>
        <v>0</v>
      </c>
      <c r="BY21" s="24">
        <f t="shared" si="25"/>
        <v>0</v>
      </c>
      <c r="BZ21" s="23">
        <f t="shared" si="26"/>
        <v>0</v>
      </c>
      <c r="CA21" s="23">
        <f t="shared" si="27"/>
        <v>0</v>
      </c>
      <c r="CB21" s="23">
        <f t="shared" si="28"/>
        <v>0</v>
      </c>
      <c r="CC21" s="23">
        <f t="shared" si="29"/>
        <v>0</v>
      </c>
      <c r="CD21" s="23">
        <f t="shared" si="30"/>
        <v>0</v>
      </c>
      <c r="CE21" s="23">
        <f t="shared" si="31"/>
        <v>0</v>
      </c>
      <c r="CF21" s="23">
        <f t="shared" si="32"/>
        <v>0</v>
      </c>
      <c r="CG21" s="23">
        <f t="shared" si="33"/>
        <v>0</v>
      </c>
      <c r="CH21" s="23">
        <f t="shared" si="34"/>
        <v>0</v>
      </c>
      <c r="CI21" s="23">
        <f t="shared" si="35"/>
        <v>0</v>
      </c>
      <c r="CJ21" s="23">
        <f t="shared" si="36"/>
        <v>0</v>
      </c>
      <c r="CK21" s="24">
        <f t="shared" si="37"/>
        <v>0</v>
      </c>
      <c r="CL21" s="42">
        <f t="shared" si="38"/>
        <v>0</v>
      </c>
      <c r="CM21" s="42">
        <f t="shared" si="39"/>
        <v>0</v>
      </c>
      <c r="CN21" s="42">
        <f t="shared" si="40"/>
        <v>0</v>
      </c>
      <c r="CO21" s="42">
        <f t="shared" si="41"/>
        <v>0</v>
      </c>
      <c r="CP21" s="42">
        <f t="shared" si="42"/>
        <v>0</v>
      </c>
      <c r="CQ21" s="90">
        <f t="shared" si="43"/>
        <v>0</v>
      </c>
      <c r="CR21" s="23">
        <f t="shared" si="44"/>
        <v>0</v>
      </c>
      <c r="CS21" s="23">
        <f t="shared" si="45"/>
        <v>0</v>
      </c>
      <c r="CT21" s="23">
        <f t="shared" si="46"/>
        <v>0</v>
      </c>
      <c r="CU21" s="23">
        <f t="shared" si="47"/>
        <v>0</v>
      </c>
      <c r="CV21" s="23">
        <f t="shared" si="48"/>
        <v>0</v>
      </c>
    </row>
    <row r="22" spans="3:100" ht="12" customHeight="1" outlineLevel="1">
      <c r="C22" s="13" t="s">
        <v>66</v>
      </c>
      <c r="D22" s="12" t="s">
        <v>67</v>
      </c>
      <c r="E22" s="12" t="s">
        <v>68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6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6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5">
        <v>0</v>
      </c>
      <c r="AL22" s="35">
        <v>0</v>
      </c>
      <c r="AM22" s="35">
        <v>0</v>
      </c>
      <c r="AN22" s="35">
        <v>0</v>
      </c>
      <c r="AO22" s="36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7">
        <v>0</v>
      </c>
      <c r="AV22" s="35">
        <f>SUM(F22:Q22)</f>
        <v>0</v>
      </c>
      <c r="AW22" s="35">
        <f>SUM(R22:AC22)</f>
        <v>0</v>
      </c>
      <c r="AX22" s="35">
        <f>SUM(AD22:AO22)</f>
        <v>0</v>
      </c>
      <c r="AY22" s="35">
        <f>SUM(AH22:AS22)</f>
        <v>0</v>
      </c>
      <c r="AZ22" s="35">
        <f>SUM(AJ22:AU22)</f>
        <v>0</v>
      </c>
      <c r="BB22" s="23">
        <f t="shared" si="2"/>
        <v>0</v>
      </c>
      <c r="BC22" s="23">
        <f t="shared" si="3"/>
        <v>0</v>
      </c>
      <c r="BD22" s="23">
        <f t="shared" si="4"/>
        <v>0</v>
      </c>
      <c r="BE22" s="23">
        <f t="shared" si="5"/>
        <v>0</v>
      </c>
      <c r="BF22" s="23">
        <f t="shared" si="6"/>
        <v>0</v>
      </c>
      <c r="BG22" s="23">
        <f t="shared" si="7"/>
        <v>0</v>
      </c>
      <c r="BH22" s="23">
        <f t="shared" si="8"/>
        <v>0</v>
      </c>
      <c r="BI22" s="23">
        <f t="shared" si="9"/>
        <v>0</v>
      </c>
      <c r="BJ22" s="23">
        <f t="shared" si="10"/>
        <v>0</v>
      </c>
      <c r="BK22" s="23">
        <f t="shared" si="11"/>
        <v>0</v>
      </c>
      <c r="BL22" s="23">
        <f t="shared" si="12"/>
        <v>0</v>
      </c>
      <c r="BM22" s="24">
        <f t="shared" si="13"/>
        <v>0</v>
      </c>
      <c r="BN22" s="23">
        <f t="shared" si="14"/>
        <v>0</v>
      </c>
      <c r="BO22" s="23">
        <f t="shared" si="15"/>
        <v>0</v>
      </c>
      <c r="BP22" s="23">
        <f t="shared" si="16"/>
        <v>0</v>
      </c>
      <c r="BQ22" s="23">
        <f t="shared" si="17"/>
        <v>0</v>
      </c>
      <c r="BR22" s="23">
        <f t="shared" si="18"/>
        <v>0</v>
      </c>
      <c r="BS22" s="23">
        <f t="shared" si="19"/>
        <v>0</v>
      </c>
      <c r="BT22" s="23">
        <f t="shared" si="20"/>
        <v>0</v>
      </c>
      <c r="BU22" s="23">
        <f t="shared" si="21"/>
        <v>0</v>
      </c>
      <c r="BV22" s="23">
        <f t="shared" si="22"/>
        <v>0</v>
      </c>
      <c r="BW22" s="23">
        <f t="shared" si="23"/>
        <v>0</v>
      </c>
      <c r="BX22" s="23">
        <f t="shared" si="24"/>
        <v>0</v>
      </c>
      <c r="BY22" s="24">
        <f t="shared" si="25"/>
        <v>0</v>
      </c>
      <c r="BZ22" s="23">
        <f t="shared" si="26"/>
        <v>0</v>
      </c>
      <c r="CA22" s="23">
        <f t="shared" si="27"/>
        <v>0</v>
      </c>
      <c r="CB22" s="23">
        <f t="shared" si="28"/>
        <v>0</v>
      </c>
      <c r="CC22" s="23">
        <f t="shared" si="29"/>
        <v>0</v>
      </c>
      <c r="CD22" s="23">
        <f t="shared" si="30"/>
        <v>0</v>
      </c>
      <c r="CE22" s="23">
        <f t="shared" si="31"/>
        <v>0</v>
      </c>
      <c r="CF22" s="23">
        <f t="shared" si="32"/>
        <v>0</v>
      </c>
      <c r="CG22" s="23">
        <f t="shared" si="33"/>
        <v>0</v>
      </c>
      <c r="CH22" s="23">
        <f t="shared" si="34"/>
        <v>0</v>
      </c>
      <c r="CI22" s="23">
        <f t="shared" si="35"/>
        <v>0</v>
      </c>
      <c r="CJ22" s="23">
        <f t="shared" si="36"/>
        <v>0</v>
      </c>
      <c r="CK22" s="24">
        <f t="shared" si="37"/>
        <v>0</v>
      </c>
      <c r="CL22" s="42">
        <f t="shared" si="38"/>
        <v>0</v>
      </c>
      <c r="CM22" s="42">
        <f t="shared" si="39"/>
        <v>0</v>
      </c>
      <c r="CN22" s="42">
        <f t="shared" si="40"/>
        <v>0</v>
      </c>
      <c r="CO22" s="42">
        <f t="shared" si="41"/>
        <v>0</v>
      </c>
      <c r="CP22" s="42">
        <f t="shared" si="42"/>
        <v>0</v>
      </c>
      <c r="CQ22" s="90">
        <f t="shared" si="43"/>
        <v>0</v>
      </c>
      <c r="CR22" s="23">
        <f t="shared" si="44"/>
        <v>0</v>
      </c>
      <c r="CS22" s="23">
        <f t="shared" si="45"/>
        <v>0</v>
      </c>
      <c r="CT22" s="23">
        <f t="shared" si="46"/>
        <v>0</v>
      </c>
      <c r="CU22" s="23">
        <f t="shared" si="47"/>
        <v>0</v>
      </c>
      <c r="CV22" s="23">
        <f t="shared" si="48"/>
        <v>0</v>
      </c>
    </row>
    <row r="23" spans="3:100" ht="12" customHeight="1" outlineLevel="1">
      <c r="C23" s="15" t="s">
        <v>69</v>
      </c>
      <c r="D23" s="16" t="s">
        <v>70</v>
      </c>
      <c r="E23" s="16" t="s">
        <v>71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9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9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8">
        <v>0</v>
      </c>
      <c r="AJ23" s="38">
        <v>0</v>
      </c>
      <c r="AK23" s="38">
        <v>0</v>
      </c>
      <c r="AL23" s="38">
        <v>0</v>
      </c>
      <c r="AM23" s="38">
        <v>0</v>
      </c>
      <c r="AN23" s="38">
        <v>0</v>
      </c>
      <c r="AO23" s="39">
        <v>0</v>
      </c>
      <c r="AP23" s="38">
        <v>0</v>
      </c>
      <c r="AQ23" s="38">
        <v>0</v>
      </c>
      <c r="AR23" s="38">
        <v>0</v>
      </c>
      <c r="AS23" s="38">
        <v>0</v>
      </c>
      <c r="AT23" s="38">
        <v>0</v>
      </c>
      <c r="AU23" s="40">
        <v>0</v>
      </c>
      <c r="AV23" s="38">
        <f>SUM(F23:Q23)</f>
        <v>0</v>
      </c>
      <c r="AW23" s="38">
        <f>SUM(R23:AC23)</f>
        <v>0</v>
      </c>
      <c r="AX23" s="38">
        <f>SUM(AD23:AO23)</f>
        <v>0</v>
      </c>
      <c r="AY23" s="38">
        <f>SUM(AH23:AS23)</f>
        <v>0</v>
      </c>
      <c r="AZ23" s="38">
        <f>SUM(AJ23:AU23)</f>
        <v>0</v>
      </c>
      <c r="BB23" s="25">
        <f t="shared" si="2"/>
        <v>0</v>
      </c>
      <c r="BC23" s="25">
        <f t="shared" si="3"/>
        <v>0</v>
      </c>
      <c r="BD23" s="25">
        <f t="shared" si="4"/>
        <v>0</v>
      </c>
      <c r="BE23" s="25">
        <f t="shared" si="5"/>
        <v>0</v>
      </c>
      <c r="BF23" s="25">
        <f t="shared" si="6"/>
        <v>0</v>
      </c>
      <c r="BG23" s="25">
        <f t="shared" si="7"/>
        <v>0</v>
      </c>
      <c r="BH23" s="25">
        <f t="shared" si="8"/>
        <v>0</v>
      </c>
      <c r="BI23" s="25">
        <f t="shared" si="9"/>
        <v>0</v>
      </c>
      <c r="BJ23" s="25">
        <f t="shared" si="10"/>
        <v>0</v>
      </c>
      <c r="BK23" s="25">
        <f t="shared" si="11"/>
        <v>0</v>
      </c>
      <c r="BL23" s="25">
        <f t="shared" si="12"/>
        <v>0</v>
      </c>
      <c r="BM23" s="26">
        <f t="shared" si="13"/>
        <v>0</v>
      </c>
      <c r="BN23" s="25">
        <f t="shared" si="14"/>
        <v>0</v>
      </c>
      <c r="BO23" s="25">
        <f t="shared" si="15"/>
        <v>0</v>
      </c>
      <c r="BP23" s="25">
        <f t="shared" si="16"/>
        <v>0</v>
      </c>
      <c r="BQ23" s="25">
        <f t="shared" si="17"/>
        <v>0</v>
      </c>
      <c r="BR23" s="25">
        <f t="shared" si="18"/>
        <v>0</v>
      </c>
      <c r="BS23" s="25">
        <f t="shared" si="19"/>
        <v>0</v>
      </c>
      <c r="BT23" s="25">
        <f t="shared" si="20"/>
        <v>0</v>
      </c>
      <c r="BU23" s="25">
        <f t="shared" si="21"/>
        <v>0</v>
      </c>
      <c r="BV23" s="25">
        <f t="shared" si="22"/>
        <v>0</v>
      </c>
      <c r="BW23" s="25">
        <f t="shared" si="23"/>
        <v>0</v>
      </c>
      <c r="BX23" s="25">
        <f t="shared" si="24"/>
        <v>0</v>
      </c>
      <c r="BY23" s="26">
        <f t="shared" si="25"/>
        <v>0</v>
      </c>
      <c r="BZ23" s="25">
        <f t="shared" si="26"/>
        <v>0</v>
      </c>
      <c r="CA23" s="25">
        <f t="shared" si="27"/>
        <v>0</v>
      </c>
      <c r="CB23" s="25">
        <f t="shared" si="28"/>
        <v>0</v>
      </c>
      <c r="CC23" s="25">
        <f t="shared" si="29"/>
        <v>0</v>
      </c>
      <c r="CD23" s="25">
        <f t="shared" si="30"/>
        <v>0</v>
      </c>
      <c r="CE23" s="25">
        <f t="shared" si="31"/>
        <v>0</v>
      </c>
      <c r="CF23" s="25">
        <f t="shared" si="32"/>
        <v>0</v>
      </c>
      <c r="CG23" s="25">
        <f t="shared" si="33"/>
        <v>0</v>
      </c>
      <c r="CH23" s="25">
        <f t="shared" si="34"/>
        <v>0</v>
      </c>
      <c r="CI23" s="25">
        <f t="shared" si="35"/>
        <v>0</v>
      </c>
      <c r="CJ23" s="25">
        <f t="shared" si="36"/>
        <v>0</v>
      </c>
      <c r="CK23" s="26">
        <f t="shared" si="37"/>
        <v>0</v>
      </c>
      <c r="CL23" s="43">
        <f t="shared" si="38"/>
        <v>0</v>
      </c>
      <c r="CM23" s="43">
        <f t="shared" si="39"/>
        <v>0</v>
      </c>
      <c r="CN23" s="43">
        <f t="shared" si="40"/>
        <v>0</v>
      </c>
      <c r="CO23" s="43">
        <f t="shared" si="41"/>
        <v>0</v>
      </c>
      <c r="CP23" s="43">
        <f t="shared" si="42"/>
        <v>0</v>
      </c>
      <c r="CQ23" s="91">
        <f t="shared" si="43"/>
        <v>0</v>
      </c>
      <c r="CR23" s="25">
        <f t="shared" si="44"/>
        <v>0</v>
      </c>
      <c r="CS23" s="25">
        <f t="shared" si="45"/>
        <v>0</v>
      </c>
      <c r="CT23" s="25">
        <f t="shared" si="46"/>
        <v>0</v>
      </c>
      <c r="CU23" s="25">
        <f t="shared" si="47"/>
        <v>0</v>
      </c>
      <c r="CV23" s="25">
        <f t="shared" si="48"/>
        <v>0</v>
      </c>
    </row>
    <row r="24" spans="3:100" ht="12" customHeight="1">
      <c r="C24" s="14" t="s">
        <v>14</v>
      </c>
      <c r="D24" s="12"/>
      <c r="E24" s="12"/>
      <c r="F24" s="35">
        <f t="shared" ref="F24:AZ24" si="51">SUM(F20:F23)</f>
        <v>0</v>
      </c>
      <c r="G24" s="35">
        <f t="shared" si="51"/>
        <v>0</v>
      </c>
      <c r="H24" s="35">
        <f t="shared" si="51"/>
        <v>0</v>
      </c>
      <c r="I24" s="35">
        <f t="shared" si="51"/>
        <v>0</v>
      </c>
      <c r="J24" s="35">
        <f t="shared" si="51"/>
        <v>0</v>
      </c>
      <c r="K24" s="35">
        <f t="shared" si="51"/>
        <v>0</v>
      </c>
      <c r="L24" s="35">
        <f t="shared" si="51"/>
        <v>0</v>
      </c>
      <c r="M24" s="35">
        <f t="shared" si="51"/>
        <v>0</v>
      </c>
      <c r="N24" s="35">
        <f t="shared" si="51"/>
        <v>0</v>
      </c>
      <c r="O24" s="35">
        <f t="shared" si="51"/>
        <v>0</v>
      </c>
      <c r="P24" s="35">
        <f t="shared" si="51"/>
        <v>0</v>
      </c>
      <c r="Q24" s="36">
        <f t="shared" si="51"/>
        <v>0</v>
      </c>
      <c r="R24" s="35">
        <f t="shared" si="51"/>
        <v>0</v>
      </c>
      <c r="S24" s="35">
        <f t="shared" si="51"/>
        <v>0</v>
      </c>
      <c r="T24" s="35">
        <f t="shared" si="51"/>
        <v>0</v>
      </c>
      <c r="U24" s="35">
        <f t="shared" si="51"/>
        <v>0</v>
      </c>
      <c r="V24" s="35">
        <f t="shared" si="51"/>
        <v>0</v>
      </c>
      <c r="W24" s="35">
        <f t="shared" si="51"/>
        <v>0</v>
      </c>
      <c r="X24" s="35">
        <f t="shared" si="51"/>
        <v>0</v>
      </c>
      <c r="Y24" s="35">
        <f t="shared" si="51"/>
        <v>0</v>
      </c>
      <c r="Z24" s="35">
        <f t="shared" si="51"/>
        <v>0</v>
      </c>
      <c r="AA24" s="35">
        <f t="shared" si="51"/>
        <v>0</v>
      </c>
      <c r="AB24" s="35">
        <f t="shared" si="51"/>
        <v>0</v>
      </c>
      <c r="AC24" s="36">
        <f t="shared" si="51"/>
        <v>0</v>
      </c>
      <c r="AD24" s="35">
        <f t="shared" si="51"/>
        <v>0</v>
      </c>
      <c r="AE24" s="35">
        <f t="shared" si="51"/>
        <v>0</v>
      </c>
      <c r="AF24" s="35">
        <f t="shared" si="51"/>
        <v>0</v>
      </c>
      <c r="AG24" s="35">
        <f t="shared" si="51"/>
        <v>0</v>
      </c>
      <c r="AH24" s="35">
        <f t="shared" si="51"/>
        <v>0</v>
      </c>
      <c r="AI24" s="35">
        <f t="shared" si="51"/>
        <v>0</v>
      </c>
      <c r="AJ24" s="35">
        <f t="shared" si="51"/>
        <v>0</v>
      </c>
      <c r="AK24" s="35">
        <f t="shared" si="51"/>
        <v>0</v>
      </c>
      <c r="AL24" s="35">
        <f t="shared" si="51"/>
        <v>0</v>
      </c>
      <c r="AM24" s="35">
        <f t="shared" si="51"/>
        <v>0</v>
      </c>
      <c r="AN24" s="35">
        <f t="shared" si="51"/>
        <v>0</v>
      </c>
      <c r="AO24" s="36">
        <f t="shared" si="51"/>
        <v>0</v>
      </c>
      <c r="AP24" s="35">
        <f t="shared" si="51"/>
        <v>0</v>
      </c>
      <c r="AQ24" s="35">
        <f t="shared" si="51"/>
        <v>0</v>
      </c>
      <c r="AR24" s="35">
        <f t="shared" si="51"/>
        <v>0</v>
      </c>
      <c r="AS24" s="35">
        <f t="shared" si="51"/>
        <v>0</v>
      </c>
      <c r="AT24" s="35">
        <f t="shared" si="51"/>
        <v>0</v>
      </c>
      <c r="AU24" s="37">
        <f t="shared" si="51"/>
        <v>0</v>
      </c>
      <c r="AV24" s="35">
        <f t="shared" si="51"/>
        <v>0</v>
      </c>
      <c r="AW24" s="35">
        <f t="shared" si="51"/>
        <v>0</v>
      </c>
      <c r="AX24" s="35">
        <f t="shared" si="51"/>
        <v>0</v>
      </c>
      <c r="AY24" s="35">
        <f t="shared" si="51"/>
        <v>0</v>
      </c>
      <c r="AZ24" s="35">
        <f t="shared" si="51"/>
        <v>0</v>
      </c>
      <c r="BB24" s="23">
        <f t="shared" si="2"/>
        <v>0</v>
      </c>
      <c r="BC24" s="23">
        <f t="shared" si="3"/>
        <v>0</v>
      </c>
      <c r="BD24" s="23">
        <f t="shared" si="4"/>
        <v>0</v>
      </c>
      <c r="BE24" s="23">
        <f t="shared" si="5"/>
        <v>0</v>
      </c>
      <c r="BF24" s="23">
        <f t="shared" si="6"/>
        <v>0</v>
      </c>
      <c r="BG24" s="23">
        <f t="shared" si="7"/>
        <v>0</v>
      </c>
      <c r="BH24" s="23">
        <f t="shared" si="8"/>
        <v>0</v>
      </c>
      <c r="BI24" s="23">
        <f t="shared" si="9"/>
        <v>0</v>
      </c>
      <c r="BJ24" s="23">
        <f t="shared" si="10"/>
        <v>0</v>
      </c>
      <c r="BK24" s="23">
        <f t="shared" si="11"/>
        <v>0</v>
      </c>
      <c r="BL24" s="23">
        <f t="shared" si="12"/>
        <v>0</v>
      </c>
      <c r="BM24" s="24">
        <f t="shared" si="13"/>
        <v>0</v>
      </c>
      <c r="BN24" s="23">
        <f t="shared" si="14"/>
        <v>0</v>
      </c>
      <c r="BO24" s="23">
        <f t="shared" si="15"/>
        <v>0</v>
      </c>
      <c r="BP24" s="23">
        <f t="shared" si="16"/>
        <v>0</v>
      </c>
      <c r="BQ24" s="23">
        <f t="shared" si="17"/>
        <v>0</v>
      </c>
      <c r="BR24" s="23">
        <f t="shared" si="18"/>
        <v>0</v>
      </c>
      <c r="BS24" s="23">
        <f t="shared" si="19"/>
        <v>0</v>
      </c>
      <c r="BT24" s="23">
        <f t="shared" si="20"/>
        <v>0</v>
      </c>
      <c r="BU24" s="23">
        <f t="shared" si="21"/>
        <v>0</v>
      </c>
      <c r="BV24" s="23">
        <f t="shared" si="22"/>
        <v>0</v>
      </c>
      <c r="BW24" s="23">
        <f t="shared" si="23"/>
        <v>0</v>
      </c>
      <c r="BX24" s="23">
        <f t="shared" si="24"/>
        <v>0</v>
      </c>
      <c r="BY24" s="24">
        <f t="shared" si="25"/>
        <v>0</v>
      </c>
      <c r="BZ24" s="23">
        <f t="shared" si="26"/>
        <v>0</v>
      </c>
      <c r="CA24" s="23">
        <f t="shared" si="27"/>
        <v>0</v>
      </c>
      <c r="CB24" s="23">
        <f t="shared" si="28"/>
        <v>0</v>
      </c>
      <c r="CC24" s="23">
        <f t="shared" si="29"/>
        <v>0</v>
      </c>
      <c r="CD24" s="23">
        <f t="shared" si="30"/>
        <v>0</v>
      </c>
      <c r="CE24" s="23">
        <f t="shared" si="31"/>
        <v>0</v>
      </c>
      <c r="CF24" s="23">
        <f t="shared" si="32"/>
        <v>0</v>
      </c>
      <c r="CG24" s="23">
        <f t="shared" si="33"/>
        <v>0</v>
      </c>
      <c r="CH24" s="23">
        <f t="shared" si="34"/>
        <v>0</v>
      </c>
      <c r="CI24" s="23">
        <f t="shared" si="35"/>
        <v>0</v>
      </c>
      <c r="CJ24" s="23">
        <f t="shared" si="36"/>
        <v>0</v>
      </c>
      <c r="CK24" s="24">
        <f t="shared" si="37"/>
        <v>0</v>
      </c>
      <c r="CL24" s="42">
        <f t="shared" si="38"/>
        <v>0</v>
      </c>
      <c r="CM24" s="42">
        <f t="shared" si="39"/>
        <v>0</v>
      </c>
      <c r="CN24" s="42">
        <f t="shared" si="40"/>
        <v>0</v>
      </c>
      <c r="CO24" s="42">
        <f t="shared" si="41"/>
        <v>0</v>
      </c>
      <c r="CP24" s="42">
        <f t="shared" si="42"/>
        <v>0</v>
      </c>
      <c r="CQ24" s="90">
        <f t="shared" si="43"/>
        <v>0</v>
      </c>
      <c r="CR24" s="23">
        <f t="shared" si="44"/>
        <v>0</v>
      </c>
      <c r="CS24" s="23">
        <f t="shared" si="45"/>
        <v>0</v>
      </c>
      <c r="CT24" s="23">
        <f t="shared" si="46"/>
        <v>0</v>
      </c>
      <c r="CU24" s="23">
        <f t="shared" si="47"/>
        <v>0</v>
      </c>
      <c r="CV24" s="23">
        <f t="shared" si="48"/>
        <v>0</v>
      </c>
    </row>
    <row r="25" spans="3:100" ht="12" customHeight="1" outlineLevel="1">
      <c r="C25" s="13" t="s">
        <v>60</v>
      </c>
      <c r="D25" s="12" t="s">
        <v>61</v>
      </c>
      <c r="E25" s="12" t="s">
        <v>62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6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6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6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7">
        <v>0</v>
      </c>
      <c r="AV25" s="35">
        <f>SUM(F25:Q25)</f>
        <v>0</v>
      </c>
      <c r="AW25" s="35">
        <f>SUM(R25:AC25)</f>
        <v>0</v>
      </c>
      <c r="AX25" s="35">
        <f>SUM(AD25:AO25)</f>
        <v>0</v>
      </c>
      <c r="AY25" s="35">
        <f>SUM(AH25:AS25)</f>
        <v>0</v>
      </c>
      <c r="AZ25" s="35">
        <f>SUM(AJ25:AU25)</f>
        <v>0</v>
      </c>
      <c r="BB25" s="23">
        <f t="shared" si="2"/>
        <v>0</v>
      </c>
      <c r="BC25" s="23">
        <f t="shared" si="3"/>
        <v>0</v>
      </c>
      <c r="BD25" s="23">
        <f t="shared" si="4"/>
        <v>0</v>
      </c>
      <c r="BE25" s="23">
        <f t="shared" si="5"/>
        <v>0</v>
      </c>
      <c r="BF25" s="23">
        <f t="shared" si="6"/>
        <v>0</v>
      </c>
      <c r="BG25" s="23">
        <f t="shared" si="7"/>
        <v>0</v>
      </c>
      <c r="BH25" s="23">
        <f t="shared" si="8"/>
        <v>0</v>
      </c>
      <c r="BI25" s="23">
        <f t="shared" si="9"/>
        <v>0</v>
      </c>
      <c r="BJ25" s="23">
        <f t="shared" si="10"/>
        <v>0</v>
      </c>
      <c r="BK25" s="23">
        <f t="shared" si="11"/>
        <v>0</v>
      </c>
      <c r="BL25" s="23">
        <f t="shared" si="12"/>
        <v>0</v>
      </c>
      <c r="BM25" s="24">
        <f t="shared" si="13"/>
        <v>0</v>
      </c>
      <c r="BN25" s="23">
        <f t="shared" si="14"/>
        <v>0</v>
      </c>
      <c r="BO25" s="23">
        <f t="shared" si="15"/>
        <v>0</v>
      </c>
      <c r="BP25" s="23">
        <f t="shared" si="16"/>
        <v>0</v>
      </c>
      <c r="BQ25" s="23">
        <f t="shared" si="17"/>
        <v>0</v>
      </c>
      <c r="BR25" s="23">
        <f t="shared" si="18"/>
        <v>0</v>
      </c>
      <c r="BS25" s="23">
        <f t="shared" si="19"/>
        <v>0</v>
      </c>
      <c r="BT25" s="23">
        <f t="shared" si="20"/>
        <v>0</v>
      </c>
      <c r="BU25" s="23">
        <f t="shared" si="21"/>
        <v>0</v>
      </c>
      <c r="BV25" s="23">
        <f t="shared" si="22"/>
        <v>0</v>
      </c>
      <c r="BW25" s="23">
        <f t="shared" si="23"/>
        <v>0</v>
      </c>
      <c r="BX25" s="23">
        <f t="shared" si="24"/>
        <v>0</v>
      </c>
      <c r="BY25" s="24">
        <f t="shared" si="25"/>
        <v>0</v>
      </c>
      <c r="BZ25" s="23">
        <f t="shared" si="26"/>
        <v>0</v>
      </c>
      <c r="CA25" s="23">
        <f t="shared" si="27"/>
        <v>0</v>
      </c>
      <c r="CB25" s="23">
        <f t="shared" si="28"/>
        <v>0</v>
      </c>
      <c r="CC25" s="23">
        <f t="shared" si="29"/>
        <v>0</v>
      </c>
      <c r="CD25" s="23">
        <f t="shared" si="30"/>
        <v>0</v>
      </c>
      <c r="CE25" s="23">
        <f t="shared" si="31"/>
        <v>0</v>
      </c>
      <c r="CF25" s="23">
        <f t="shared" si="32"/>
        <v>0</v>
      </c>
      <c r="CG25" s="23">
        <f t="shared" si="33"/>
        <v>0</v>
      </c>
      <c r="CH25" s="23">
        <f t="shared" si="34"/>
        <v>0</v>
      </c>
      <c r="CI25" s="23">
        <f t="shared" si="35"/>
        <v>0</v>
      </c>
      <c r="CJ25" s="23">
        <f t="shared" si="36"/>
        <v>0</v>
      </c>
      <c r="CK25" s="24">
        <f t="shared" si="37"/>
        <v>0</v>
      </c>
      <c r="CL25" s="42">
        <f t="shared" si="38"/>
        <v>0</v>
      </c>
      <c r="CM25" s="42">
        <f t="shared" si="39"/>
        <v>0</v>
      </c>
      <c r="CN25" s="42">
        <f t="shared" si="40"/>
        <v>0</v>
      </c>
      <c r="CO25" s="42">
        <f t="shared" si="41"/>
        <v>0</v>
      </c>
      <c r="CP25" s="42">
        <f t="shared" si="42"/>
        <v>0</v>
      </c>
      <c r="CQ25" s="90">
        <f t="shared" si="43"/>
        <v>0</v>
      </c>
      <c r="CR25" s="23">
        <f t="shared" si="44"/>
        <v>0</v>
      </c>
      <c r="CS25" s="23">
        <f t="shared" si="45"/>
        <v>0</v>
      </c>
      <c r="CT25" s="23">
        <f t="shared" si="46"/>
        <v>0</v>
      </c>
      <c r="CU25" s="23">
        <f t="shared" si="47"/>
        <v>0</v>
      </c>
      <c r="CV25" s="23">
        <f t="shared" si="48"/>
        <v>0</v>
      </c>
    </row>
    <row r="26" spans="3:100" ht="12" customHeight="1" outlineLevel="1">
      <c r="C26" s="13" t="s">
        <v>63</v>
      </c>
      <c r="D26" s="12" t="s">
        <v>64</v>
      </c>
      <c r="E26" s="12" t="s">
        <v>65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6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6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0</v>
      </c>
      <c r="AK26" s="35">
        <v>0</v>
      </c>
      <c r="AL26" s="35">
        <v>0</v>
      </c>
      <c r="AM26" s="35">
        <v>0</v>
      </c>
      <c r="AN26" s="35">
        <v>0</v>
      </c>
      <c r="AO26" s="36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7">
        <v>0</v>
      </c>
      <c r="AV26" s="35">
        <f>SUM(F26:Q26)</f>
        <v>0</v>
      </c>
      <c r="AW26" s="35">
        <f>SUM(R26:AC26)</f>
        <v>0</v>
      </c>
      <c r="AX26" s="35">
        <f>SUM(AD26:AO26)</f>
        <v>0</v>
      </c>
      <c r="AY26" s="35">
        <f>SUM(AH26:AS26)</f>
        <v>0</v>
      </c>
      <c r="AZ26" s="35">
        <f>SUM(AJ26:AU26)</f>
        <v>0</v>
      </c>
      <c r="BB26" s="23">
        <f t="shared" si="2"/>
        <v>0</v>
      </c>
      <c r="BC26" s="23">
        <f t="shared" si="3"/>
        <v>0</v>
      </c>
      <c r="BD26" s="23">
        <f t="shared" si="4"/>
        <v>0</v>
      </c>
      <c r="BE26" s="23">
        <f t="shared" si="5"/>
        <v>0</v>
      </c>
      <c r="BF26" s="23">
        <f t="shared" si="6"/>
        <v>0</v>
      </c>
      <c r="BG26" s="23">
        <f t="shared" si="7"/>
        <v>0</v>
      </c>
      <c r="BH26" s="23">
        <f t="shared" si="8"/>
        <v>0</v>
      </c>
      <c r="BI26" s="23">
        <f t="shared" si="9"/>
        <v>0</v>
      </c>
      <c r="BJ26" s="23">
        <f t="shared" si="10"/>
        <v>0</v>
      </c>
      <c r="BK26" s="23">
        <f t="shared" si="11"/>
        <v>0</v>
      </c>
      <c r="BL26" s="23">
        <f t="shared" si="12"/>
        <v>0</v>
      </c>
      <c r="BM26" s="24">
        <f t="shared" si="13"/>
        <v>0</v>
      </c>
      <c r="BN26" s="23">
        <f t="shared" si="14"/>
        <v>0</v>
      </c>
      <c r="BO26" s="23">
        <f t="shared" si="15"/>
        <v>0</v>
      </c>
      <c r="BP26" s="23">
        <f t="shared" si="16"/>
        <v>0</v>
      </c>
      <c r="BQ26" s="23">
        <f t="shared" si="17"/>
        <v>0</v>
      </c>
      <c r="BR26" s="23">
        <f t="shared" si="18"/>
        <v>0</v>
      </c>
      <c r="BS26" s="23">
        <f t="shared" si="19"/>
        <v>0</v>
      </c>
      <c r="BT26" s="23">
        <f t="shared" si="20"/>
        <v>0</v>
      </c>
      <c r="BU26" s="23">
        <f t="shared" si="21"/>
        <v>0</v>
      </c>
      <c r="BV26" s="23">
        <f t="shared" si="22"/>
        <v>0</v>
      </c>
      <c r="BW26" s="23">
        <f t="shared" si="23"/>
        <v>0</v>
      </c>
      <c r="BX26" s="23">
        <f t="shared" si="24"/>
        <v>0</v>
      </c>
      <c r="BY26" s="24">
        <f t="shared" si="25"/>
        <v>0</v>
      </c>
      <c r="BZ26" s="23">
        <f t="shared" si="26"/>
        <v>0</v>
      </c>
      <c r="CA26" s="23">
        <f t="shared" si="27"/>
        <v>0</v>
      </c>
      <c r="CB26" s="23">
        <f t="shared" si="28"/>
        <v>0</v>
      </c>
      <c r="CC26" s="23">
        <f t="shared" si="29"/>
        <v>0</v>
      </c>
      <c r="CD26" s="23">
        <f t="shared" si="30"/>
        <v>0</v>
      </c>
      <c r="CE26" s="23">
        <f t="shared" si="31"/>
        <v>0</v>
      </c>
      <c r="CF26" s="23">
        <f t="shared" si="32"/>
        <v>0</v>
      </c>
      <c r="CG26" s="23">
        <f t="shared" si="33"/>
        <v>0</v>
      </c>
      <c r="CH26" s="23">
        <f t="shared" si="34"/>
        <v>0</v>
      </c>
      <c r="CI26" s="23">
        <f t="shared" si="35"/>
        <v>0</v>
      </c>
      <c r="CJ26" s="23">
        <f t="shared" si="36"/>
        <v>0</v>
      </c>
      <c r="CK26" s="24">
        <f t="shared" si="37"/>
        <v>0</v>
      </c>
      <c r="CL26" s="42">
        <f t="shared" si="38"/>
        <v>0</v>
      </c>
      <c r="CM26" s="42">
        <f t="shared" si="39"/>
        <v>0</v>
      </c>
      <c r="CN26" s="42">
        <f t="shared" si="40"/>
        <v>0</v>
      </c>
      <c r="CO26" s="42">
        <f t="shared" si="41"/>
        <v>0</v>
      </c>
      <c r="CP26" s="42">
        <f t="shared" si="42"/>
        <v>0</v>
      </c>
      <c r="CQ26" s="90">
        <f t="shared" si="43"/>
        <v>0</v>
      </c>
      <c r="CR26" s="23">
        <f t="shared" si="44"/>
        <v>0</v>
      </c>
      <c r="CS26" s="23">
        <f t="shared" si="45"/>
        <v>0</v>
      </c>
      <c r="CT26" s="23">
        <f t="shared" si="46"/>
        <v>0</v>
      </c>
      <c r="CU26" s="23">
        <f t="shared" si="47"/>
        <v>0</v>
      </c>
      <c r="CV26" s="23">
        <f t="shared" si="48"/>
        <v>0</v>
      </c>
    </row>
    <row r="27" spans="3:100" ht="12" customHeight="1" outlineLevel="1">
      <c r="C27" s="13" t="s">
        <v>66</v>
      </c>
      <c r="D27" s="12" t="s">
        <v>67</v>
      </c>
      <c r="E27" s="12" t="s">
        <v>68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6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6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6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7">
        <v>0</v>
      </c>
      <c r="AV27" s="35">
        <f>SUM(F27:Q27)</f>
        <v>0</v>
      </c>
      <c r="AW27" s="35">
        <f>SUM(R27:AC27)</f>
        <v>0</v>
      </c>
      <c r="AX27" s="35">
        <f>SUM(AD27:AO27)</f>
        <v>0</v>
      </c>
      <c r="AY27" s="35">
        <f>SUM(AH27:AS27)</f>
        <v>0</v>
      </c>
      <c r="AZ27" s="35">
        <f>SUM(AJ27:AU27)</f>
        <v>0</v>
      </c>
      <c r="BB27" s="23">
        <f t="shared" si="2"/>
        <v>0</v>
      </c>
      <c r="BC27" s="23">
        <f t="shared" si="3"/>
        <v>0</v>
      </c>
      <c r="BD27" s="23">
        <f t="shared" si="4"/>
        <v>0</v>
      </c>
      <c r="BE27" s="23">
        <f t="shared" si="5"/>
        <v>0</v>
      </c>
      <c r="BF27" s="23">
        <f t="shared" si="6"/>
        <v>0</v>
      </c>
      <c r="BG27" s="23">
        <f t="shared" si="7"/>
        <v>0</v>
      </c>
      <c r="BH27" s="23">
        <f t="shared" si="8"/>
        <v>0</v>
      </c>
      <c r="BI27" s="23">
        <f t="shared" si="9"/>
        <v>0</v>
      </c>
      <c r="BJ27" s="23">
        <f t="shared" si="10"/>
        <v>0</v>
      </c>
      <c r="BK27" s="23">
        <f t="shared" si="11"/>
        <v>0</v>
      </c>
      <c r="BL27" s="23">
        <f t="shared" si="12"/>
        <v>0</v>
      </c>
      <c r="BM27" s="24">
        <f t="shared" si="13"/>
        <v>0</v>
      </c>
      <c r="BN27" s="23">
        <f t="shared" si="14"/>
        <v>0</v>
      </c>
      <c r="BO27" s="23">
        <f t="shared" si="15"/>
        <v>0</v>
      </c>
      <c r="BP27" s="23">
        <f t="shared" si="16"/>
        <v>0</v>
      </c>
      <c r="BQ27" s="23">
        <f t="shared" si="17"/>
        <v>0</v>
      </c>
      <c r="BR27" s="23">
        <f t="shared" si="18"/>
        <v>0</v>
      </c>
      <c r="BS27" s="23">
        <f t="shared" si="19"/>
        <v>0</v>
      </c>
      <c r="BT27" s="23">
        <f t="shared" si="20"/>
        <v>0</v>
      </c>
      <c r="BU27" s="23">
        <f t="shared" si="21"/>
        <v>0</v>
      </c>
      <c r="BV27" s="23">
        <f t="shared" si="22"/>
        <v>0</v>
      </c>
      <c r="BW27" s="23">
        <f t="shared" si="23"/>
        <v>0</v>
      </c>
      <c r="BX27" s="23">
        <f t="shared" si="24"/>
        <v>0</v>
      </c>
      <c r="BY27" s="24">
        <f t="shared" si="25"/>
        <v>0</v>
      </c>
      <c r="BZ27" s="23">
        <f t="shared" si="26"/>
        <v>0</v>
      </c>
      <c r="CA27" s="23">
        <f t="shared" si="27"/>
        <v>0</v>
      </c>
      <c r="CB27" s="23">
        <f t="shared" si="28"/>
        <v>0</v>
      </c>
      <c r="CC27" s="23">
        <f t="shared" si="29"/>
        <v>0</v>
      </c>
      <c r="CD27" s="23">
        <f t="shared" si="30"/>
        <v>0</v>
      </c>
      <c r="CE27" s="23">
        <f t="shared" si="31"/>
        <v>0</v>
      </c>
      <c r="CF27" s="23">
        <f t="shared" si="32"/>
        <v>0</v>
      </c>
      <c r="CG27" s="23">
        <f t="shared" si="33"/>
        <v>0</v>
      </c>
      <c r="CH27" s="23">
        <f t="shared" si="34"/>
        <v>0</v>
      </c>
      <c r="CI27" s="23">
        <f t="shared" si="35"/>
        <v>0</v>
      </c>
      <c r="CJ27" s="23">
        <f t="shared" si="36"/>
        <v>0</v>
      </c>
      <c r="CK27" s="24">
        <f t="shared" si="37"/>
        <v>0</v>
      </c>
      <c r="CL27" s="42">
        <f t="shared" si="38"/>
        <v>0</v>
      </c>
      <c r="CM27" s="42">
        <f t="shared" si="39"/>
        <v>0</v>
      </c>
      <c r="CN27" s="42">
        <f t="shared" si="40"/>
        <v>0</v>
      </c>
      <c r="CO27" s="42">
        <f t="shared" si="41"/>
        <v>0</v>
      </c>
      <c r="CP27" s="42">
        <f t="shared" si="42"/>
        <v>0</v>
      </c>
      <c r="CQ27" s="90">
        <f t="shared" si="43"/>
        <v>0</v>
      </c>
      <c r="CR27" s="23">
        <f t="shared" si="44"/>
        <v>0</v>
      </c>
      <c r="CS27" s="23">
        <f t="shared" si="45"/>
        <v>0</v>
      </c>
      <c r="CT27" s="23">
        <f t="shared" si="46"/>
        <v>0</v>
      </c>
      <c r="CU27" s="23">
        <f t="shared" si="47"/>
        <v>0</v>
      </c>
      <c r="CV27" s="23">
        <f t="shared" si="48"/>
        <v>0</v>
      </c>
    </row>
    <row r="28" spans="3:100" ht="12" customHeight="1" outlineLevel="1">
      <c r="C28" s="15" t="s">
        <v>69</v>
      </c>
      <c r="D28" s="16" t="s">
        <v>70</v>
      </c>
      <c r="E28" s="16" t="s">
        <v>71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9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9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8">
        <v>0</v>
      </c>
      <c r="AJ28" s="38">
        <v>0</v>
      </c>
      <c r="AK28" s="38">
        <v>0</v>
      </c>
      <c r="AL28" s="38">
        <v>0</v>
      </c>
      <c r="AM28" s="38">
        <v>0</v>
      </c>
      <c r="AN28" s="38">
        <v>0</v>
      </c>
      <c r="AO28" s="39">
        <v>0</v>
      </c>
      <c r="AP28" s="38">
        <v>0</v>
      </c>
      <c r="AQ28" s="38">
        <v>0</v>
      </c>
      <c r="AR28" s="38">
        <v>0</v>
      </c>
      <c r="AS28" s="38">
        <v>0</v>
      </c>
      <c r="AT28" s="38">
        <v>0</v>
      </c>
      <c r="AU28" s="40">
        <v>0</v>
      </c>
      <c r="AV28" s="38">
        <f>SUM(F28:Q28)</f>
        <v>0</v>
      </c>
      <c r="AW28" s="38">
        <f>SUM(R28:AC28)</f>
        <v>0</v>
      </c>
      <c r="AX28" s="38">
        <f>SUM(AD28:AO28)</f>
        <v>0</v>
      </c>
      <c r="AY28" s="38">
        <f>SUM(AH28:AS28)</f>
        <v>0</v>
      </c>
      <c r="AZ28" s="38">
        <f>SUM(AJ28:AU28)</f>
        <v>0</v>
      </c>
      <c r="BB28" s="25">
        <f t="shared" si="2"/>
        <v>0</v>
      </c>
      <c r="BC28" s="25">
        <f t="shared" si="3"/>
        <v>0</v>
      </c>
      <c r="BD28" s="25">
        <f t="shared" si="4"/>
        <v>0</v>
      </c>
      <c r="BE28" s="25">
        <f t="shared" si="5"/>
        <v>0</v>
      </c>
      <c r="BF28" s="25">
        <f t="shared" si="6"/>
        <v>0</v>
      </c>
      <c r="BG28" s="25">
        <f t="shared" si="7"/>
        <v>0</v>
      </c>
      <c r="BH28" s="25">
        <f t="shared" si="8"/>
        <v>0</v>
      </c>
      <c r="BI28" s="25">
        <f t="shared" si="9"/>
        <v>0</v>
      </c>
      <c r="BJ28" s="25">
        <f t="shared" si="10"/>
        <v>0</v>
      </c>
      <c r="BK28" s="25">
        <f t="shared" si="11"/>
        <v>0</v>
      </c>
      <c r="BL28" s="25">
        <f t="shared" si="12"/>
        <v>0</v>
      </c>
      <c r="BM28" s="26">
        <f t="shared" si="13"/>
        <v>0</v>
      </c>
      <c r="BN28" s="25">
        <f t="shared" si="14"/>
        <v>0</v>
      </c>
      <c r="BO28" s="25">
        <f t="shared" si="15"/>
        <v>0</v>
      </c>
      <c r="BP28" s="25">
        <f t="shared" si="16"/>
        <v>0</v>
      </c>
      <c r="BQ28" s="25">
        <f t="shared" si="17"/>
        <v>0</v>
      </c>
      <c r="BR28" s="25">
        <f t="shared" si="18"/>
        <v>0</v>
      </c>
      <c r="BS28" s="25">
        <f t="shared" si="19"/>
        <v>0</v>
      </c>
      <c r="BT28" s="25">
        <f t="shared" si="20"/>
        <v>0</v>
      </c>
      <c r="BU28" s="25">
        <f t="shared" si="21"/>
        <v>0</v>
      </c>
      <c r="BV28" s="25">
        <f t="shared" si="22"/>
        <v>0</v>
      </c>
      <c r="BW28" s="25">
        <f t="shared" si="23"/>
        <v>0</v>
      </c>
      <c r="BX28" s="25">
        <f t="shared" si="24"/>
        <v>0</v>
      </c>
      <c r="BY28" s="26">
        <f t="shared" si="25"/>
        <v>0</v>
      </c>
      <c r="BZ28" s="25">
        <f t="shared" si="26"/>
        <v>0</v>
      </c>
      <c r="CA28" s="25">
        <f t="shared" si="27"/>
        <v>0</v>
      </c>
      <c r="CB28" s="25">
        <f t="shared" si="28"/>
        <v>0</v>
      </c>
      <c r="CC28" s="25">
        <f t="shared" si="29"/>
        <v>0</v>
      </c>
      <c r="CD28" s="25">
        <f t="shared" si="30"/>
        <v>0</v>
      </c>
      <c r="CE28" s="25">
        <f t="shared" si="31"/>
        <v>0</v>
      </c>
      <c r="CF28" s="25">
        <f t="shared" si="32"/>
        <v>0</v>
      </c>
      <c r="CG28" s="25">
        <f t="shared" si="33"/>
        <v>0</v>
      </c>
      <c r="CH28" s="25">
        <f t="shared" si="34"/>
        <v>0</v>
      </c>
      <c r="CI28" s="25">
        <f t="shared" si="35"/>
        <v>0</v>
      </c>
      <c r="CJ28" s="25">
        <f t="shared" si="36"/>
        <v>0</v>
      </c>
      <c r="CK28" s="26">
        <f t="shared" si="37"/>
        <v>0</v>
      </c>
      <c r="CL28" s="43">
        <f t="shared" si="38"/>
        <v>0</v>
      </c>
      <c r="CM28" s="43">
        <f t="shared" si="39"/>
        <v>0</v>
      </c>
      <c r="CN28" s="43">
        <f t="shared" si="40"/>
        <v>0</v>
      </c>
      <c r="CO28" s="43">
        <f t="shared" si="41"/>
        <v>0</v>
      </c>
      <c r="CP28" s="43">
        <f t="shared" si="42"/>
        <v>0</v>
      </c>
      <c r="CQ28" s="91">
        <f t="shared" si="43"/>
        <v>0</v>
      </c>
      <c r="CR28" s="25">
        <f t="shared" si="44"/>
        <v>0</v>
      </c>
      <c r="CS28" s="25">
        <f t="shared" si="45"/>
        <v>0</v>
      </c>
      <c r="CT28" s="25">
        <f t="shared" si="46"/>
        <v>0</v>
      </c>
      <c r="CU28" s="25">
        <f t="shared" si="47"/>
        <v>0</v>
      </c>
      <c r="CV28" s="25">
        <f t="shared" si="48"/>
        <v>0</v>
      </c>
    </row>
    <row r="29" spans="3:100" ht="12" customHeight="1">
      <c r="C29" s="14" t="s">
        <v>16</v>
      </c>
      <c r="D29" s="12"/>
      <c r="E29" s="12"/>
      <c r="F29" s="35">
        <f t="shared" ref="F29:AZ29" si="52">SUM(F25:F28)</f>
        <v>0</v>
      </c>
      <c r="G29" s="35">
        <f t="shared" si="52"/>
        <v>0</v>
      </c>
      <c r="H29" s="35">
        <f t="shared" si="52"/>
        <v>0</v>
      </c>
      <c r="I29" s="35">
        <f t="shared" si="52"/>
        <v>0</v>
      </c>
      <c r="J29" s="35">
        <f t="shared" si="52"/>
        <v>0</v>
      </c>
      <c r="K29" s="35">
        <f t="shared" si="52"/>
        <v>0</v>
      </c>
      <c r="L29" s="35">
        <f t="shared" si="52"/>
        <v>0</v>
      </c>
      <c r="M29" s="35">
        <f t="shared" si="52"/>
        <v>0</v>
      </c>
      <c r="N29" s="35">
        <f t="shared" si="52"/>
        <v>0</v>
      </c>
      <c r="O29" s="35">
        <f t="shared" si="52"/>
        <v>0</v>
      </c>
      <c r="P29" s="35">
        <f t="shared" si="52"/>
        <v>0</v>
      </c>
      <c r="Q29" s="36">
        <f t="shared" si="52"/>
        <v>0</v>
      </c>
      <c r="R29" s="35">
        <f t="shared" si="52"/>
        <v>0</v>
      </c>
      <c r="S29" s="35">
        <f t="shared" si="52"/>
        <v>0</v>
      </c>
      <c r="T29" s="35">
        <f t="shared" si="52"/>
        <v>0</v>
      </c>
      <c r="U29" s="35">
        <f t="shared" si="52"/>
        <v>0</v>
      </c>
      <c r="V29" s="35">
        <f t="shared" si="52"/>
        <v>0</v>
      </c>
      <c r="W29" s="35">
        <f t="shared" si="52"/>
        <v>0</v>
      </c>
      <c r="X29" s="35">
        <f t="shared" si="52"/>
        <v>0</v>
      </c>
      <c r="Y29" s="35">
        <f t="shared" si="52"/>
        <v>0</v>
      </c>
      <c r="Z29" s="35">
        <f t="shared" si="52"/>
        <v>0</v>
      </c>
      <c r="AA29" s="35">
        <f t="shared" si="52"/>
        <v>0</v>
      </c>
      <c r="AB29" s="35">
        <f t="shared" si="52"/>
        <v>0</v>
      </c>
      <c r="AC29" s="36">
        <f t="shared" si="52"/>
        <v>0</v>
      </c>
      <c r="AD29" s="35">
        <f t="shared" si="52"/>
        <v>0</v>
      </c>
      <c r="AE29" s="35">
        <f t="shared" si="52"/>
        <v>0</v>
      </c>
      <c r="AF29" s="35">
        <f t="shared" si="52"/>
        <v>0</v>
      </c>
      <c r="AG29" s="35">
        <f t="shared" si="52"/>
        <v>0</v>
      </c>
      <c r="AH29" s="35">
        <f t="shared" si="52"/>
        <v>0</v>
      </c>
      <c r="AI29" s="35">
        <f t="shared" si="52"/>
        <v>0</v>
      </c>
      <c r="AJ29" s="35">
        <f t="shared" si="52"/>
        <v>0</v>
      </c>
      <c r="AK29" s="35">
        <f t="shared" si="52"/>
        <v>0</v>
      </c>
      <c r="AL29" s="35">
        <f t="shared" si="52"/>
        <v>0</v>
      </c>
      <c r="AM29" s="35">
        <f t="shared" si="52"/>
        <v>0</v>
      </c>
      <c r="AN29" s="35">
        <f t="shared" si="52"/>
        <v>0</v>
      </c>
      <c r="AO29" s="36">
        <f t="shared" si="52"/>
        <v>0</v>
      </c>
      <c r="AP29" s="35">
        <f t="shared" si="52"/>
        <v>0</v>
      </c>
      <c r="AQ29" s="35">
        <f t="shared" si="52"/>
        <v>0</v>
      </c>
      <c r="AR29" s="35">
        <f t="shared" si="52"/>
        <v>0</v>
      </c>
      <c r="AS29" s="35">
        <f t="shared" si="52"/>
        <v>0</v>
      </c>
      <c r="AT29" s="35">
        <f t="shared" si="52"/>
        <v>0</v>
      </c>
      <c r="AU29" s="37">
        <f t="shared" si="52"/>
        <v>0</v>
      </c>
      <c r="AV29" s="35">
        <f t="shared" si="52"/>
        <v>0</v>
      </c>
      <c r="AW29" s="35">
        <f t="shared" si="52"/>
        <v>0</v>
      </c>
      <c r="AX29" s="35">
        <f t="shared" si="52"/>
        <v>0</v>
      </c>
      <c r="AY29" s="35">
        <f t="shared" si="52"/>
        <v>0</v>
      </c>
      <c r="AZ29" s="35">
        <f t="shared" si="52"/>
        <v>0</v>
      </c>
      <c r="BB29" s="23">
        <f t="shared" si="2"/>
        <v>0</v>
      </c>
      <c r="BC29" s="23">
        <f t="shared" si="3"/>
        <v>0</v>
      </c>
      <c r="BD29" s="23">
        <f t="shared" si="4"/>
        <v>0</v>
      </c>
      <c r="BE29" s="23">
        <f t="shared" si="5"/>
        <v>0</v>
      </c>
      <c r="BF29" s="23">
        <f t="shared" si="6"/>
        <v>0</v>
      </c>
      <c r="BG29" s="23">
        <f t="shared" si="7"/>
        <v>0</v>
      </c>
      <c r="BH29" s="23">
        <f t="shared" si="8"/>
        <v>0</v>
      </c>
      <c r="BI29" s="23">
        <f t="shared" si="9"/>
        <v>0</v>
      </c>
      <c r="BJ29" s="23">
        <f t="shared" si="10"/>
        <v>0</v>
      </c>
      <c r="BK29" s="23">
        <f t="shared" si="11"/>
        <v>0</v>
      </c>
      <c r="BL29" s="23">
        <f t="shared" si="12"/>
        <v>0</v>
      </c>
      <c r="BM29" s="24">
        <f t="shared" si="13"/>
        <v>0</v>
      </c>
      <c r="BN29" s="23">
        <f t="shared" si="14"/>
        <v>0</v>
      </c>
      <c r="BO29" s="23">
        <f t="shared" si="15"/>
        <v>0</v>
      </c>
      <c r="BP29" s="23">
        <f t="shared" si="16"/>
        <v>0</v>
      </c>
      <c r="BQ29" s="23">
        <f t="shared" si="17"/>
        <v>0</v>
      </c>
      <c r="BR29" s="23">
        <f t="shared" si="18"/>
        <v>0</v>
      </c>
      <c r="BS29" s="23">
        <f t="shared" si="19"/>
        <v>0</v>
      </c>
      <c r="BT29" s="23">
        <f t="shared" si="20"/>
        <v>0</v>
      </c>
      <c r="BU29" s="23">
        <f t="shared" si="21"/>
        <v>0</v>
      </c>
      <c r="BV29" s="23">
        <f t="shared" si="22"/>
        <v>0</v>
      </c>
      <c r="BW29" s="23">
        <f t="shared" si="23"/>
        <v>0</v>
      </c>
      <c r="BX29" s="23">
        <f t="shared" si="24"/>
        <v>0</v>
      </c>
      <c r="BY29" s="24">
        <f t="shared" si="25"/>
        <v>0</v>
      </c>
      <c r="BZ29" s="23">
        <f t="shared" si="26"/>
        <v>0</v>
      </c>
      <c r="CA29" s="23">
        <f t="shared" si="27"/>
        <v>0</v>
      </c>
      <c r="CB29" s="23">
        <f t="shared" si="28"/>
        <v>0</v>
      </c>
      <c r="CC29" s="23">
        <f t="shared" si="29"/>
        <v>0</v>
      </c>
      <c r="CD29" s="23">
        <f t="shared" si="30"/>
        <v>0</v>
      </c>
      <c r="CE29" s="23">
        <f t="shared" si="31"/>
        <v>0</v>
      </c>
      <c r="CF29" s="23">
        <f t="shared" si="32"/>
        <v>0</v>
      </c>
      <c r="CG29" s="23">
        <f t="shared" si="33"/>
        <v>0</v>
      </c>
      <c r="CH29" s="23">
        <f t="shared" si="34"/>
        <v>0</v>
      </c>
      <c r="CI29" s="23">
        <f t="shared" si="35"/>
        <v>0</v>
      </c>
      <c r="CJ29" s="23">
        <f t="shared" si="36"/>
        <v>0</v>
      </c>
      <c r="CK29" s="24">
        <f t="shared" si="37"/>
        <v>0</v>
      </c>
      <c r="CL29" s="42">
        <f t="shared" si="38"/>
        <v>0</v>
      </c>
      <c r="CM29" s="42">
        <f t="shared" si="39"/>
        <v>0</v>
      </c>
      <c r="CN29" s="42">
        <f t="shared" si="40"/>
        <v>0</v>
      </c>
      <c r="CO29" s="42">
        <f t="shared" si="41"/>
        <v>0</v>
      </c>
      <c r="CP29" s="42">
        <f t="shared" si="42"/>
        <v>0</v>
      </c>
      <c r="CQ29" s="90">
        <f t="shared" si="43"/>
        <v>0</v>
      </c>
      <c r="CR29" s="23">
        <f t="shared" si="44"/>
        <v>0</v>
      </c>
      <c r="CS29" s="23">
        <f t="shared" si="45"/>
        <v>0</v>
      </c>
      <c r="CT29" s="23">
        <f t="shared" si="46"/>
        <v>0</v>
      </c>
      <c r="CU29" s="23">
        <f t="shared" si="47"/>
        <v>0</v>
      </c>
      <c r="CV29" s="23">
        <f t="shared" si="48"/>
        <v>0</v>
      </c>
    </row>
    <row r="30" spans="3:100" ht="12" customHeight="1" outlineLevel="1">
      <c r="C30" s="13" t="s">
        <v>60</v>
      </c>
      <c r="D30" s="12" t="s">
        <v>61</v>
      </c>
      <c r="E30" s="12" t="s">
        <v>62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6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6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  <c r="AO30" s="36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7">
        <v>0</v>
      </c>
      <c r="AV30" s="35">
        <f>SUM(F30:Q30)</f>
        <v>0</v>
      </c>
      <c r="AW30" s="35">
        <f>SUM(R30:AC30)</f>
        <v>0</v>
      </c>
      <c r="AX30" s="35">
        <f>SUM(AD30:AO30)</f>
        <v>0</v>
      </c>
      <c r="AY30" s="35">
        <f>SUM(AH30:AS30)</f>
        <v>0</v>
      </c>
      <c r="AZ30" s="35">
        <f>SUM(AJ30:AU30)</f>
        <v>0</v>
      </c>
      <c r="BB30" s="23">
        <f t="shared" si="2"/>
        <v>0</v>
      </c>
      <c r="BC30" s="23">
        <f t="shared" si="3"/>
        <v>0</v>
      </c>
      <c r="BD30" s="23">
        <f t="shared" si="4"/>
        <v>0</v>
      </c>
      <c r="BE30" s="23">
        <f t="shared" si="5"/>
        <v>0</v>
      </c>
      <c r="BF30" s="23">
        <f t="shared" si="6"/>
        <v>0</v>
      </c>
      <c r="BG30" s="23">
        <f t="shared" si="7"/>
        <v>0</v>
      </c>
      <c r="BH30" s="23">
        <f t="shared" si="8"/>
        <v>0</v>
      </c>
      <c r="BI30" s="23">
        <f t="shared" si="9"/>
        <v>0</v>
      </c>
      <c r="BJ30" s="23">
        <f t="shared" si="10"/>
        <v>0</v>
      </c>
      <c r="BK30" s="23">
        <f t="shared" si="11"/>
        <v>0</v>
      </c>
      <c r="BL30" s="23">
        <f t="shared" si="12"/>
        <v>0</v>
      </c>
      <c r="BM30" s="24">
        <f t="shared" si="13"/>
        <v>0</v>
      </c>
      <c r="BN30" s="23">
        <f t="shared" si="14"/>
        <v>0</v>
      </c>
      <c r="BO30" s="23">
        <f t="shared" si="15"/>
        <v>0</v>
      </c>
      <c r="BP30" s="23">
        <f t="shared" si="16"/>
        <v>0</v>
      </c>
      <c r="BQ30" s="23">
        <f t="shared" si="17"/>
        <v>0</v>
      </c>
      <c r="BR30" s="23">
        <f t="shared" si="18"/>
        <v>0</v>
      </c>
      <c r="BS30" s="23">
        <f t="shared" si="19"/>
        <v>0</v>
      </c>
      <c r="BT30" s="23">
        <f t="shared" si="20"/>
        <v>0</v>
      </c>
      <c r="BU30" s="23">
        <f t="shared" si="21"/>
        <v>0</v>
      </c>
      <c r="BV30" s="23">
        <f t="shared" si="22"/>
        <v>0</v>
      </c>
      <c r="BW30" s="23">
        <f t="shared" si="23"/>
        <v>0</v>
      </c>
      <c r="BX30" s="23">
        <f t="shared" si="24"/>
        <v>0</v>
      </c>
      <c r="BY30" s="24">
        <f t="shared" si="25"/>
        <v>0</v>
      </c>
      <c r="BZ30" s="23">
        <f t="shared" si="26"/>
        <v>0</v>
      </c>
      <c r="CA30" s="23">
        <f t="shared" si="27"/>
        <v>0</v>
      </c>
      <c r="CB30" s="23">
        <f t="shared" si="28"/>
        <v>0</v>
      </c>
      <c r="CC30" s="23">
        <f t="shared" si="29"/>
        <v>0</v>
      </c>
      <c r="CD30" s="23">
        <f t="shared" si="30"/>
        <v>0</v>
      </c>
      <c r="CE30" s="23">
        <f t="shared" si="31"/>
        <v>0</v>
      </c>
      <c r="CF30" s="23">
        <f t="shared" si="32"/>
        <v>0</v>
      </c>
      <c r="CG30" s="23">
        <f t="shared" si="33"/>
        <v>0</v>
      </c>
      <c r="CH30" s="23">
        <f t="shared" si="34"/>
        <v>0</v>
      </c>
      <c r="CI30" s="23">
        <f t="shared" si="35"/>
        <v>0</v>
      </c>
      <c r="CJ30" s="23">
        <f t="shared" si="36"/>
        <v>0</v>
      </c>
      <c r="CK30" s="24">
        <f t="shared" si="37"/>
        <v>0</v>
      </c>
      <c r="CL30" s="42">
        <f t="shared" si="38"/>
        <v>0</v>
      </c>
      <c r="CM30" s="42">
        <f t="shared" si="39"/>
        <v>0</v>
      </c>
      <c r="CN30" s="42">
        <f t="shared" si="40"/>
        <v>0</v>
      </c>
      <c r="CO30" s="42">
        <f t="shared" si="41"/>
        <v>0</v>
      </c>
      <c r="CP30" s="42">
        <f t="shared" si="42"/>
        <v>0</v>
      </c>
      <c r="CQ30" s="90">
        <f t="shared" si="43"/>
        <v>0</v>
      </c>
      <c r="CR30" s="23">
        <f t="shared" si="44"/>
        <v>0</v>
      </c>
      <c r="CS30" s="23">
        <f t="shared" si="45"/>
        <v>0</v>
      </c>
      <c r="CT30" s="23">
        <f t="shared" si="46"/>
        <v>0</v>
      </c>
      <c r="CU30" s="23">
        <f t="shared" si="47"/>
        <v>0</v>
      </c>
      <c r="CV30" s="23">
        <f t="shared" si="48"/>
        <v>0</v>
      </c>
    </row>
    <row r="31" spans="3:100" ht="12" customHeight="1" outlineLevel="1">
      <c r="C31" s="13" t="s">
        <v>63</v>
      </c>
      <c r="D31" s="12" t="s">
        <v>64</v>
      </c>
      <c r="E31" s="12" t="s">
        <v>65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6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6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6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7">
        <v>0</v>
      </c>
      <c r="AV31" s="35">
        <f>SUM(F31:Q31)</f>
        <v>0</v>
      </c>
      <c r="AW31" s="35">
        <f>SUM(R31:AC31)</f>
        <v>0</v>
      </c>
      <c r="AX31" s="35">
        <f>SUM(AD31:AO31)</f>
        <v>0</v>
      </c>
      <c r="AY31" s="35">
        <f>SUM(AH31:AS31)</f>
        <v>0</v>
      </c>
      <c r="AZ31" s="35">
        <f>SUM(AJ31:AU31)</f>
        <v>0</v>
      </c>
      <c r="BB31" s="23">
        <f t="shared" si="2"/>
        <v>0</v>
      </c>
      <c r="BC31" s="23">
        <f t="shared" si="3"/>
        <v>0</v>
      </c>
      <c r="BD31" s="23">
        <f t="shared" si="4"/>
        <v>0</v>
      </c>
      <c r="BE31" s="23">
        <f t="shared" si="5"/>
        <v>0</v>
      </c>
      <c r="BF31" s="23">
        <f t="shared" si="6"/>
        <v>0</v>
      </c>
      <c r="BG31" s="23">
        <f t="shared" si="7"/>
        <v>0</v>
      </c>
      <c r="BH31" s="23">
        <f t="shared" si="8"/>
        <v>0</v>
      </c>
      <c r="BI31" s="23">
        <f t="shared" si="9"/>
        <v>0</v>
      </c>
      <c r="BJ31" s="23">
        <f t="shared" si="10"/>
        <v>0</v>
      </c>
      <c r="BK31" s="23">
        <f t="shared" si="11"/>
        <v>0</v>
      </c>
      <c r="BL31" s="23">
        <f t="shared" si="12"/>
        <v>0</v>
      </c>
      <c r="BM31" s="24">
        <f t="shared" si="13"/>
        <v>0</v>
      </c>
      <c r="BN31" s="23">
        <f t="shared" si="14"/>
        <v>0</v>
      </c>
      <c r="BO31" s="23">
        <f t="shared" si="15"/>
        <v>0</v>
      </c>
      <c r="BP31" s="23">
        <f t="shared" si="16"/>
        <v>0</v>
      </c>
      <c r="BQ31" s="23">
        <f t="shared" si="17"/>
        <v>0</v>
      </c>
      <c r="BR31" s="23">
        <f t="shared" si="18"/>
        <v>0</v>
      </c>
      <c r="BS31" s="23">
        <f t="shared" si="19"/>
        <v>0</v>
      </c>
      <c r="BT31" s="23">
        <f t="shared" si="20"/>
        <v>0</v>
      </c>
      <c r="BU31" s="23">
        <f t="shared" si="21"/>
        <v>0</v>
      </c>
      <c r="BV31" s="23">
        <f t="shared" si="22"/>
        <v>0</v>
      </c>
      <c r="BW31" s="23">
        <f t="shared" si="23"/>
        <v>0</v>
      </c>
      <c r="BX31" s="23">
        <f t="shared" si="24"/>
        <v>0</v>
      </c>
      <c r="BY31" s="24">
        <f t="shared" si="25"/>
        <v>0</v>
      </c>
      <c r="BZ31" s="23">
        <f t="shared" si="26"/>
        <v>0</v>
      </c>
      <c r="CA31" s="23">
        <f t="shared" si="27"/>
        <v>0</v>
      </c>
      <c r="CB31" s="23">
        <f t="shared" si="28"/>
        <v>0</v>
      </c>
      <c r="CC31" s="23">
        <f t="shared" si="29"/>
        <v>0</v>
      </c>
      <c r="CD31" s="23">
        <f t="shared" si="30"/>
        <v>0</v>
      </c>
      <c r="CE31" s="23">
        <f t="shared" si="31"/>
        <v>0</v>
      </c>
      <c r="CF31" s="23">
        <f t="shared" si="32"/>
        <v>0</v>
      </c>
      <c r="CG31" s="23">
        <f t="shared" si="33"/>
        <v>0</v>
      </c>
      <c r="CH31" s="23">
        <f t="shared" si="34"/>
        <v>0</v>
      </c>
      <c r="CI31" s="23">
        <f t="shared" si="35"/>
        <v>0</v>
      </c>
      <c r="CJ31" s="23">
        <f t="shared" si="36"/>
        <v>0</v>
      </c>
      <c r="CK31" s="24">
        <f t="shared" si="37"/>
        <v>0</v>
      </c>
      <c r="CL31" s="42">
        <f t="shared" si="38"/>
        <v>0</v>
      </c>
      <c r="CM31" s="42">
        <f t="shared" si="39"/>
        <v>0</v>
      </c>
      <c r="CN31" s="42">
        <f t="shared" si="40"/>
        <v>0</v>
      </c>
      <c r="CO31" s="42">
        <f t="shared" si="41"/>
        <v>0</v>
      </c>
      <c r="CP31" s="42">
        <f t="shared" si="42"/>
        <v>0</v>
      </c>
      <c r="CQ31" s="90">
        <f t="shared" si="43"/>
        <v>0</v>
      </c>
      <c r="CR31" s="23">
        <f t="shared" si="44"/>
        <v>0</v>
      </c>
      <c r="CS31" s="23">
        <f t="shared" si="45"/>
        <v>0</v>
      </c>
      <c r="CT31" s="23">
        <f t="shared" si="46"/>
        <v>0</v>
      </c>
      <c r="CU31" s="23">
        <f t="shared" si="47"/>
        <v>0</v>
      </c>
      <c r="CV31" s="23">
        <f t="shared" si="48"/>
        <v>0</v>
      </c>
    </row>
    <row r="32" spans="3:100" ht="12" customHeight="1" outlineLevel="1">
      <c r="C32" s="13" t="s">
        <v>66</v>
      </c>
      <c r="D32" s="12" t="s">
        <v>67</v>
      </c>
      <c r="E32" s="12" t="s">
        <v>68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6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6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6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7">
        <v>0</v>
      </c>
      <c r="AV32" s="35">
        <f>SUM(F32:Q32)</f>
        <v>0</v>
      </c>
      <c r="AW32" s="35">
        <f>SUM(R32:AC32)</f>
        <v>0</v>
      </c>
      <c r="AX32" s="35">
        <f>SUM(AD32:AO32)</f>
        <v>0</v>
      </c>
      <c r="AY32" s="35">
        <f>SUM(AH32:AS32)</f>
        <v>0</v>
      </c>
      <c r="AZ32" s="35">
        <f>SUM(AJ32:AU32)</f>
        <v>0</v>
      </c>
      <c r="BB32" s="23">
        <f t="shared" si="2"/>
        <v>0</v>
      </c>
      <c r="BC32" s="23">
        <f t="shared" si="3"/>
        <v>0</v>
      </c>
      <c r="BD32" s="23">
        <f t="shared" si="4"/>
        <v>0</v>
      </c>
      <c r="BE32" s="23">
        <f t="shared" si="5"/>
        <v>0</v>
      </c>
      <c r="BF32" s="23">
        <f t="shared" si="6"/>
        <v>0</v>
      </c>
      <c r="BG32" s="23">
        <f t="shared" si="7"/>
        <v>0</v>
      </c>
      <c r="BH32" s="23">
        <f t="shared" si="8"/>
        <v>0</v>
      </c>
      <c r="BI32" s="23">
        <f t="shared" si="9"/>
        <v>0</v>
      </c>
      <c r="BJ32" s="23">
        <f t="shared" si="10"/>
        <v>0</v>
      </c>
      <c r="BK32" s="23">
        <f t="shared" si="11"/>
        <v>0</v>
      </c>
      <c r="BL32" s="23">
        <f t="shared" si="12"/>
        <v>0</v>
      </c>
      <c r="BM32" s="24">
        <f t="shared" si="13"/>
        <v>0</v>
      </c>
      <c r="BN32" s="23">
        <f t="shared" si="14"/>
        <v>0</v>
      </c>
      <c r="BO32" s="23">
        <f t="shared" si="15"/>
        <v>0</v>
      </c>
      <c r="BP32" s="23">
        <f t="shared" si="16"/>
        <v>0</v>
      </c>
      <c r="BQ32" s="23">
        <f t="shared" si="17"/>
        <v>0</v>
      </c>
      <c r="BR32" s="23">
        <f t="shared" si="18"/>
        <v>0</v>
      </c>
      <c r="BS32" s="23">
        <f t="shared" si="19"/>
        <v>0</v>
      </c>
      <c r="BT32" s="23">
        <f t="shared" si="20"/>
        <v>0</v>
      </c>
      <c r="BU32" s="23">
        <f t="shared" si="21"/>
        <v>0</v>
      </c>
      <c r="BV32" s="23">
        <f t="shared" si="22"/>
        <v>0</v>
      </c>
      <c r="BW32" s="23">
        <f t="shared" si="23"/>
        <v>0</v>
      </c>
      <c r="BX32" s="23">
        <f t="shared" si="24"/>
        <v>0</v>
      </c>
      <c r="BY32" s="24">
        <f t="shared" si="25"/>
        <v>0</v>
      </c>
      <c r="BZ32" s="23">
        <f t="shared" si="26"/>
        <v>0</v>
      </c>
      <c r="CA32" s="23">
        <f t="shared" si="27"/>
        <v>0</v>
      </c>
      <c r="CB32" s="23">
        <f t="shared" si="28"/>
        <v>0</v>
      </c>
      <c r="CC32" s="23">
        <f t="shared" si="29"/>
        <v>0</v>
      </c>
      <c r="CD32" s="23">
        <f t="shared" si="30"/>
        <v>0</v>
      </c>
      <c r="CE32" s="23">
        <f t="shared" si="31"/>
        <v>0</v>
      </c>
      <c r="CF32" s="23">
        <f t="shared" si="32"/>
        <v>0</v>
      </c>
      <c r="CG32" s="23">
        <f t="shared" si="33"/>
        <v>0</v>
      </c>
      <c r="CH32" s="23">
        <f t="shared" si="34"/>
        <v>0</v>
      </c>
      <c r="CI32" s="23">
        <f t="shared" si="35"/>
        <v>0</v>
      </c>
      <c r="CJ32" s="23">
        <f t="shared" si="36"/>
        <v>0</v>
      </c>
      <c r="CK32" s="24">
        <f t="shared" si="37"/>
        <v>0</v>
      </c>
      <c r="CL32" s="42">
        <f t="shared" si="38"/>
        <v>0</v>
      </c>
      <c r="CM32" s="42">
        <f t="shared" si="39"/>
        <v>0</v>
      </c>
      <c r="CN32" s="42">
        <f t="shared" si="40"/>
        <v>0</v>
      </c>
      <c r="CO32" s="42">
        <f t="shared" si="41"/>
        <v>0</v>
      </c>
      <c r="CP32" s="42">
        <f t="shared" si="42"/>
        <v>0</v>
      </c>
      <c r="CQ32" s="90">
        <f t="shared" si="43"/>
        <v>0</v>
      </c>
      <c r="CR32" s="23">
        <f t="shared" si="44"/>
        <v>0</v>
      </c>
      <c r="CS32" s="23">
        <f t="shared" si="45"/>
        <v>0</v>
      </c>
      <c r="CT32" s="23">
        <f t="shared" si="46"/>
        <v>0</v>
      </c>
      <c r="CU32" s="23">
        <f t="shared" si="47"/>
        <v>0</v>
      </c>
      <c r="CV32" s="23">
        <f t="shared" si="48"/>
        <v>0</v>
      </c>
    </row>
    <row r="33" spans="1:100" ht="12" customHeight="1" outlineLevel="1">
      <c r="C33" s="15" t="s">
        <v>69</v>
      </c>
      <c r="D33" s="16" t="s">
        <v>70</v>
      </c>
      <c r="E33" s="16" t="s">
        <v>71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9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9">
        <v>0</v>
      </c>
      <c r="AD33" s="38">
        <v>0</v>
      </c>
      <c r="AE33" s="38">
        <v>0</v>
      </c>
      <c r="AF33" s="38">
        <v>0</v>
      </c>
      <c r="AG33" s="38">
        <v>0</v>
      </c>
      <c r="AH33" s="38">
        <v>0</v>
      </c>
      <c r="AI33" s="38">
        <v>0</v>
      </c>
      <c r="AJ33" s="38">
        <v>0</v>
      </c>
      <c r="AK33" s="38">
        <v>0</v>
      </c>
      <c r="AL33" s="38">
        <v>0</v>
      </c>
      <c r="AM33" s="38">
        <v>0</v>
      </c>
      <c r="AN33" s="38">
        <v>0</v>
      </c>
      <c r="AO33" s="39">
        <v>0</v>
      </c>
      <c r="AP33" s="38">
        <v>0</v>
      </c>
      <c r="AQ33" s="38">
        <v>0</v>
      </c>
      <c r="AR33" s="38">
        <v>0</v>
      </c>
      <c r="AS33" s="38">
        <v>0</v>
      </c>
      <c r="AT33" s="38">
        <v>0</v>
      </c>
      <c r="AU33" s="40">
        <v>0</v>
      </c>
      <c r="AV33" s="38">
        <f>SUM(F33:Q33)</f>
        <v>0</v>
      </c>
      <c r="AW33" s="38">
        <f>SUM(R33:AC33)</f>
        <v>0</v>
      </c>
      <c r="AX33" s="38">
        <f>SUM(AD33:AO33)</f>
        <v>0</v>
      </c>
      <c r="AY33" s="38">
        <f>SUM(AH33:AS33)</f>
        <v>0</v>
      </c>
      <c r="AZ33" s="38">
        <f>SUM(AJ33:AU33)</f>
        <v>0</v>
      </c>
      <c r="BB33" s="25">
        <f t="shared" si="2"/>
        <v>0</v>
      </c>
      <c r="BC33" s="25">
        <f t="shared" si="3"/>
        <v>0</v>
      </c>
      <c r="BD33" s="25">
        <f t="shared" si="4"/>
        <v>0</v>
      </c>
      <c r="BE33" s="25">
        <f t="shared" si="5"/>
        <v>0</v>
      </c>
      <c r="BF33" s="25">
        <f t="shared" si="6"/>
        <v>0</v>
      </c>
      <c r="BG33" s="25">
        <f t="shared" si="7"/>
        <v>0</v>
      </c>
      <c r="BH33" s="25">
        <f t="shared" si="8"/>
        <v>0</v>
      </c>
      <c r="BI33" s="25">
        <f t="shared" si="9"/>
        <v>0</v>
      </c>
      <c r="BJ33" s="25">
        <f t="shared" si="10"/>
        <v>0</v>
      </c>
      <c r="BK33" s="25">
        <f t="shared" si="11"/>
        <v>0</v>
      </c>
      <c r="BL33" s="25">
        <f t="shared" si="12"/>
        <v>0</v>
      </c>
      <c r="BM33" s="26">
        <f t="shared" si="13"/>
        <v>0</v>
      </c>
      <c r="BN33" s="25">
        <f t="shared" si="14"/>
        <v>0</v>
      </c>
      <c r="BO33" s="25">
        <f t="shared" si="15"/>
        <v>0</v>
      </c>
      <c r="BP33" s="25">
        <f t="shared" si="16"/>
        <v>0</v>
      </c>
      <c r="BQ33" s="25">
        <f t="shared" si="17"/>
        <v>0</v>
      </c>
      <c r="BR33" s="25">
        <f t="shared" si="18"/>
        <v>0</v>
      </c>
      <c r="BS33" s="25">
        <f t="shared" si="19"/>
        <v>0</v>
      </c>
      <c r="BT33" s="25">
        <f t="shared" si="20"/>
        <v>0</v>
      </c>
      <c r="BU33" s="25">
        <f t="shared" si="21"/>
        <v>0</v>
      </c>
      <c r="BV33" s="25">
        <f t="shared" si="22"/>
        <v>0</v>
      </c>
      <c r="BW33" s="25">
        <f t="shared" si="23"/>
        <v>0</v>
      </c>
      <c r="BX33" s="25">
        <f t="shared" si="24"/>
        <v>0</v>
      </c>
      <c r="BY33" s="26">
        <f t="shared" si="25"/>
        <v>0</v>
      </c>
      <c r="BZ33" s="25">
        <f t="shared" si="26"/>
        <v>0</v>
      </c>
      <c r="CA33" s="25">
        <f t="shared" si="27"/>
        <v>0</v>
      </c>
      <c r="CB33" s="25">
        <f t="shared" si="28"/>
        <v>0</v>
      </c>
      <c r="CC33" s="25">
        <f t="shared" si="29"/>
        <v>0</v>
      </c>
      <c r="CD33" s="25">
        <f t="shared" si="30"/>
        <v>0</v>
      </c>
      <c r="CE33" s="25">
        <f t="shared" si="31"/>
        <v>0</v>
      </c>
      <c r="CF33" s="25">
        <f t="shared" si="32"/>
        <v>0</v>
      </c>
      <c r="CG33" s="25">
        <f t="shared" si="33"/>
        <v>0</v>
      </c>
      <c r="CH33" s="25">
        <f t="shared" si="34"/>
        <v>0</v>
      </c>
      <c r="CI33" s="25">
        <f t="shared" si="35"/>
        <v>0</v>
      </c>
      <c r="CJ33" s="25">
        <f t="shared" si="36"/>
        <v>0</v>
      </c>
      <c r="CK33" s="26">
        <f t="shared" si="37"/>
        <v>0</v>
      </c>
      <c r="CL33" s="43">
        <f t="shared" si="38"/>
        <v>0</v>
      </c>
      <c r="CM33" s="43">
        <f t="shared" si="39"/>
        <v>0</v>
      </c>
      <c r="CN33" s="43">
        <f t="shared" si="40"/>
        <v>0</v>
      </c>
      <c r="CO33" s="43">
        <f t="shared" si="41"/>
        <v>0</v>
      </c>
      <c r="CP33" s="43">
        <f t="shared" si="42"/>
        <v>0</v>
      </c>
      <c r="CQ33" s="91">
        <f t="shared" si="43"/>
        <v>0</v>
      </c>
      <c r="CR33" s="25">
        <f t="shared" si="44"/>
        <v>0</v>
      </c>
      <c r="CS33" s="25">
        <f t="shared" si="45"/>
        <v>0</v>
      </c>
      <c r="CT33" s="25">
        <f t="shared" si="46"/>
        <v>0</v>
      </c>
      <c r="CU33" s="25">
        <f t="shared" si="47"/>
        <v>0</v>
      </c>
      <c r="CV33" s="25">
        <f t="shared" si="48"/>
        <v>0</v>
      </c>
    </row>
    <row r="34" spans="1:100" ht="12" customHeight="1">
      <c r="C34" s="14" t="s">
        <v>12</v>
      </c>
      <c r="D34" s="12"/>
      <c r="E34" s="12"/>
      <c r="F34" s="35">
        <f t="shared" ref="F34:AZ34" si="53">SUM(F30:F33)</f>
        <v>0</v>
      </c>
      <c r="G34" s="35">
        <f t="shared" si="53"/>
        <v>0</v>
      </c>
      <c r="H34" s="35">
        <f t="shared" si="53"/>
        <v>0</v>
      </c>
      <c r="I34" s="35">
        <f t="shared" si="53"/>
        <v>0</v>
      </c>
      <c r="J34" s="35">
        <f t="shared" si="53"/>
        <v>0</v>
      </c>
      <c r="K34" s="35">
        <f t="shared" si="53"/>
        <v>0</v>
      </c>
      <c r="L34" s="35">
        <f t="shared" si="53"/>
        <v>0</v>
      </c>
      <c r="M34" s="35">
        <f t="shared" si="53"/>
        <v>0</v>
      </c>
      <c r="N34" s="35">
        <f t="shared" si="53"/>
        <v>0</v>
      </c>
      <c r="O34" s="35">
        <f t="shared" si="53"/>
        <v>0</v>
      </c>
      <c r="P34" s="35">
        <f t="shared" si="53"/>
        <v>0</v>
      </c>
      <c r="Q34" s="36">
        <f t="shared" si="53"/>
        <v>0</v>
      </c>
      <c r="R34" s="35">
        <f t="shared" si="53"/>
        <v>0</v>
      </c>
      <c r="S34" s="35">
        <f t="shared" si="53"/>
        <v>0</v>
      </c>
      <c r="T34" s="35">
        <f t="shared" si="53"/>
        <v>0</v>
      </c>
      <c r="U34" s="35">
        <f t="shared" si="53"/>
        <v>0</v>
      </c>
      <c r="V34" s="35">
        <f t="shared" si="53"/>
        <v>0</v>
      </c>
      <c r="W34" s="35">
        <f t="shared" si="53"/>
        <v>0</v>
      </c>
      <c r="X34" s="35">
        <f t="shared" si="53"/>
        <v>0</v>
      </c>
      <c r="Y34" s="35">
        <f t="shared" si="53"/>
        <v>0</v>
      </c>
      <c r="Z34" s="35">
        <f t="shared" si="53"/>
        <v>0</v>
      </c>
      <c r="AA34" s="35">
        <f t="shared" si="53"/>
        <v>0</v>
      </c>
      <c r="AB34" s="35">
        <f t="shared" si="53"/>
        <v>0</v>
      </c>
      <c r="AC34" s="36">
        <f t="shared" si="53"/>
        <v>0</v>
      </c>
      <c r="AD34" s="35">
        <f t="shared" si="53"/>
        <v>0</v>
      </c>
      <c r="AE34" s="35">
        <f t="shared" si="53"/>
        <v>0</v>
      </c>
      <c r="AF34" s="35">
        <f t="shared" si="53"/>
        <v>0</v>
      </c>
      <c r="AG34" s="35">
        <f t="shared" si="53"/>
        <v>0</v>
      </c>
      <c r="AH34" s="35">
        <f t="shared" si="53"/>
        <v>0</v>
      </c>
      <c r="AI34" s="35">
        <f t="shared" si="53"/>
        <v>0</v>
      </c>
      <c r="AJ34" s="35">
        <f t="shared" si="53"/>
        <v>0</v>
      </c>
      <c r="AK34" s="35">
        <f t="shared" si="53"/>
        <v>0</v>
      </c>
      <c r="AL34" s="35">
        <f t="shared" si="53"/>
        <v>0</v>
      </c>
      <c r="AM34" s="35">
        <f t="shared" si="53"/>
        <v>0</v>
      </c>
      <c r="AN34" s="35">
        <f t="shared" si="53"/>
        <v>0</v>
      </c>
      <c r="AO34" s="36">
        <f t="shared" si="53"/>
        <v>0</v>
      </c>
      <c r="AP34" s="35">
        <f t="shared" si="53"/>
        <v>0</v>
      </c>
      <c r="AQ34" s="35">
        <f t="shared" si="53"/>
        <v>0</v>
      </c>
      <c r="AR34" s="35">
        <f t="shared" si="53"/>
        <v>0</v>
      </c>
      <c r="AS34" s="35">
        <f t="shared" si="53"/>
        <v>0</v>
      </c>
      <c r="AT34" s="35">
        <f t="shared" si="53"/>
        <v>0</v>
      </c>
      <c r="AU34" s="37">
        <f t="shared" si="53"/>
        <v>0</v>
      </c>
      <c r="AV34" s="35">
        <f t="shared" si="53"/>
        <v>0</v>
      </c>
      <c r="AW34" s="35">
        <f t="shared" si="53"/>
        <v>0</v>
      </c>
      <c r="AX34" s="35">
        <f t="shared" si="53"/>
        <v>0</v>
      </c>
      <c r="AY34" s="35">
        <f t="shared" si="53"/>
        <v>0</v>
      </c>
      <c r="AZ34" s="35">
        <f t="shared" si="53"/>
        <v>0</v>
      </c>
      <c r="BB34" s="23">
        <f t="shared" si="2"/>
        <v>0</v>
      </c>
      <c r="BC34" s="23">
        <f t="shared" si="3"/>
        <v>0</v>
      </c>
      <c r="BD34" s="23">
        <f t="shared" si="4"/>
        <v>0</v>
      </c>
      <c r="BE34" s="23">
        <f t="shared" si="5"/>
        <v>0</v>
      </c>
      <c r="BF34" s="23">
        <f t="shared" si="6"/>
        <v>0</v>
      </c>
      <c r="BG34" s="23">
        <f t="shared" si="7"/>
        <v>0</v>
      </c>
      <c r="BH34" s="23">
        <f t="shared" si="8"/>
        <v>0</v>
      </c>
      <c r="BI34" s="23">
        <f t="shared" si="9"/>
        <v>0</v>
      </c>
      <c r="BJ34" s="23">
        <f t="shared" si="10"/>
        <v>0</v>
      </c>
      <c r="BK34" s="23">
        <f t="shared" si="11"/>
        <v>0</v>
      </c>
      <c r="BL34" s="23">
        <f t="shared" si="12"/>
        <v>0</v>
      </c>
      <c r="BM34" s="24">
        <f t="shared" si="13"/>
        <v>0</v>
      </c>
      <c r="BN34" s="23">
        <f t="shared" si="14"/>
        <v>0</v>
      </c>
      <c r="BO34" s="23">
        <f t="shared" si="15"/>
        <v>0</v>
      </c>
      <c r="BP34" s="23">
        <f t="shared" si="16"/>
        <v>0</v>
      </c>
      <c r="BQ34" s="23">
        <f t="shared" si="17"/>
        <v>0</v>
      </c>
      <c r="BR34" s="23">
        <f t="shared" si="18"/>
        <v>0</v>
      </c>
      <c r="BS34" s="23">
        <f t="shared" si="19"/>
        <v>0</v>
      </c>
      <c r="BT34" s="23">
        <f t="shared" si="20"/>
        <v>0</v>
      </c>
      <c r="BU34" s="23">
        <f t="shared" si="21"/>
        <v>0</v>
      </c>
      <c r="BV34" s="23">
        <f t="shared" si="22"/>
        <v>0</v>
      </c>
      <c r="BW34" s="23">
        <f t="shared" si="23"/>
        <v>0</v>
      </c>
      <c r="BX34" s="23">
        <f t="shared" si="24"/>
        <v>0</v>
      </c>
      <c r="BY34" s="24">
        <f t="shared" si="25"/>
        <v>0</v>
      </c>
      <c r="BZ34" s="23">
        <f t="shared" si="26"/>
        <v>0</v>
      </c>
      <c r="CA34" s="23">
        <f t="shared" si="27"/>
        <v>0</v>
      </c>
      <c r="CB34" s="23">
        <f t="shared" si="28"/>
        <v>0</v>
      </c>
      <c r="CC34" s="23">
        <f t="shared" si="29"/>
        <v>0</v>
      </c>
      <c r="CD34" s="23">
        <f t="shared" si="30"/>
        <v>0</v>
      </c>
      <c r="CE34" s="23">
        <f t="shared" si="31"/>
        <v>0</v>
      </c>
      <c r="CF34" s="23">
        <f t="shared" si="32"/>
        <v>0</v>
      </c>
      <c r="CG34" s="23">
        <f t="shared" si="33"/>
        <v>0</v>
      </c>
      <c r="CH34" s="23">
        <f t="shared" si="34"/>
        <v>0</v>
      </c>
      <c r="CI34" s="23">
        <f t="shared" si="35"/>
        <v>0</v>
      </c>
      <c r="CJ34" s="23">
        <f t="shared" si="36"/>
        <v>0</v>
      </c>
      <c r="CK34" s="24">
        <f t="shared" si="37"/>
        <v>0</v>
      </c>
      <c r="CL34" s="42">
        <f t="shared" si="38"/>
        <v>0</v>
      </c>
      <c r="CM34" s="42">
        <f t="shared" si="39"/>
        <v>0</v>
      </c>
      <c r="CN34" s="42">
        <f t="shared" si="40"/>
        <v>0</v>
      </c>
      <c r="CO34" s="42">
        <f t="shared" si="41"/>
        <v>0</v>
      </c>
      <c r="CP34" s="42">
        <f t="shared" si="42"/>
        <v>0</v>
      </c>
      <c r="CQ34" s="90">
        <f t="shared" si="43"/>
        <v>0</v>
      </c>
      <c r="CR34" s="23">
        <f t="shared" si="44"/>
        <v>0</v>
      </c>
      <c r="CS34" s="23">
        <f t="shared" si="45"/>
        <v>0</v>
      </c>
      <c r="CT34" s="23">
        <f t="shared" si="46"/>
        <v>0</v>
      </c>
      <c r="CU34" s="23">
        <f t="shared" si="47"/>
        <v>0</v>
      </c>
      <c r="CV34" s="23">
        <f t="shared" si="48"/>
        <v>0</v>
      </c>
    </row>
    <row r="35" spans="1:100" ht="12" customHeight="1" outlineLevel="1">
      <c r="C35" s="13" t="s">
        <v>60</v>
      </c>
      <c r="D35" s="12" t="s">
        <v>61</v>
      </c>
      <c r="E35" s="12" t="s">
        <v>62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6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6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6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7">
        <v>0</v>
      </c>
      <c r="AV35" s="35">
        <f>SUM(F35:Q35)</f>
        <v>0</v>
      </c>
      <c r="AW35" s="35">
        <f>SUM(R35:AC35)</f>
        <v>0</v>
      </c>
      <c r="AX35" s="35">
        <f>SUM(AD35:AO35)</f>
        <v>0</v>
      </c>
      <c r="AY35" s="35">
        <f>SUM(AH35:AS35)</f>
        <v>0</v>
      </c>
      <c r="AZ35" s="35">
        <f>SUM(AJ35:AU35)</f>
        <v>0</v>
      </c>
      <c r="BB35" s="23">
        <f t="shared" si="2"/>
        <v>0</v>
      </c>
      <c r="BC35" s="23">
        <f t="shared" si="3"/>
        <v>0</v>
      </c>
      <c r="BD35" s="23">
        <f t="shared" si="4"/>
        <v>0</v>
      </c>
      <c r="BE35" s="23">
        <f t="shared" si="5"/>
        <v>0</v>
      </c>
      <c r="BF35" s="23">
        <f t="shared" si="6"/>
        <v>0</v>
      </c>
      <c r="BG35" s="23">
        <f t="shared" si="7"/>
        <v>0</v>
      </c>
      <c r="BH35" s="23">
        <f t="shared" si="8"/>
        <v>0</v>
      </c>
      <c r="BI35" s="23">
        <f t="shared" si="9"/>
        <v>0</v>
      </c>
      <c r="BJ35" s="23">
        <f t="shared" si="10"/>
        <v>0</v>
      </c>
      <c r="BK35" s="23">
        <f t="shared" si="11"/>
        <v>0</v>
      </c>
      <c r="BL35" s="23">
        <f t="shared" si="12"/>
        <v>0</v>
      </c>
      <c r="BM35" s="24">
        <f t="shared" si="13"/>
        <v>0</v>
      </c>
      <c r="BN35" s="23">
        <f t="shared" si="14"/>
        <v>0</v>
      </c>
      <c r="BO35" s="23">
        <f t="shared" si="15"/>
        <v>0</v>
      </c>
      <c r="BP35" s="23">
        <f t="shared" si="16"/>
        <v>0</v>
      </c>
      <c r="BQ35" s="23">
        <f t="shared" si="17"/>
        <v>0</v>
      </c>
      <c r="BR35" s="23">
        <f t="shared" si="18"/>
        <v>0</v>
      </c>
      <c r="BS35" s="23">
        <f t="shared" si="19"/>
        <v>0</v>
      </c>
      <c r="BT35" s="23">
        <f t="shared" si="20"/>
        <v>0</v>
      </c>
      <c r="BU35" s="23">
        <f t="shared" si="21"/>
        <v>0</v>
      </c>
      <c r="BV35" s="23">
        <f t="shared" si="22"/>
        <v>0</v>
      </c>
      <c r="BW35" s="23">
        <f t="shared" si="23"/>
        <v>0</v>
      </c>
      <c r="BX35" s="23">
        <f t="shared" si="24"/>
        <v>0</v>
      </c>
      <c r="BY35" s="24">
        <f t="shared" si="25"/>
        <v>0</v>
      </c>
      <c r="BZ35" s="23">
        <f t="shared" si="26"/>
        <v>0</v>
      </c>
      <c r="CA35" s="23">
        <f t="shared" si="27"/>
        <v>0</v>
      </c>
      <c r="CB35" s="23">
        <f t="shared" si="28"/>
        <v>0</v>
      </c>
      <c r="CC35" s="23">
        <f t="shared" si="29"/>
        <v>0</v>
      </c>
      <c r="CD35" s="23">
        <f t="shared" si="30"/>
        <v>0</v>
      </c>
      <c r="CE35" s="23">
        <f t="shared" si="31"/>
        <v>0</v>
      </c>
      <c r="CF35" s="23">
        <f t="shared" si="32"/>
        <v>0</v>
      </c>
      <c r="CG35" s="23">
        <f t="shared" si="33"/>
        <v>0</v>
      </c>
      <c r="CH35" s="23">
        <f t="shared" si="34"/>
        <v>0</v>
      </c>
      <c r="CI35" s="23">
        <f t="shared" si="35"/>
        <v>0</v>
      </c>
      <c r="CJ35" s="23">
        <f t="shared" si="36"/>
        <v>0</v>
      </c>
      <c r="CK35" s="24">
        <f t="shared" si="37"/>
        <v>0</v>
      </c>
      <c r="CL35" s="42">
        <f t="shared" si="38"/>
        <v>0</v>
      </c>
      <c r="CM35" s="42">
        <f t="shared" si="39"/>
        <v>0</v>
      </c>
      <c r="CN35" s="42">
        <f t="shared" si="40"/>
        <v>0</v>
      </c>
      <c r="CO35" s="42">
        <f t="shared" si="41"/>
        <v>0</v>
      </c>
      <c r="CP35" s="42">
        <f t="shared" si="42"/>
        <v>0</v>
      </c>
      <c r="CQ35" s="90">
        <f t="shared" si="43"/>
        <v>0</v>
      </c>
      <c r="CR35" s="23">
        <f t="shared" si="44"/>
        <v>0</v>
      </c>
      <c r="CS35" s="23">
        <f t="shared" si="45"/>
        <v>0</v>
      </c>
      <c r="CT35" s="23">
        <f t="shared" si="46"/>
        <v>0</v>
      </c>
      <c r="CU35" s="23">
        <f t="shared" si="47"/>
        <v>0</v>
      </c>
      <c r="CV35" s="23">
        <f t="shared" si="48"/>
        <v>0</v>
      </c>
    </row>
    <row r="36" spans="1:100" ht="12" customHeight="1" outlineLevel="1">
      <c r="C36" s="13" t="s">
        <v>63</v>
      </c>
      <c r="D36" s="12" t="s">
        <v>64</v>
      </c>
      <c r="E36" s="12" t="s">
        <v>65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6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6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35">
        <v>0</v>
      </c>
      <c r="AL36" s="35">
        <v>0</v>
      </c>
      <c r="AM36" s="35">
        <v>0</v>
      </c>
      <c r="AN36" s="35">
        <v>0</v>
      </c>
      <c r="AO36" s="36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7">
        <v>0</v>
      </c>
      <c r="AV36" s="35">
        <f>SUM(F36:Q36)</f>
        <v>0</v>
      </c>
      <c r="AW36" s="35">
        <f>SUM(R36:AC36)</f>
        <v>0</v>
      </c>
      <c r="AX36" s="35">
        <f>SUM(AD36:AO36)</f>
        <v>0</v>
      </c>
      <c r="AY36" s="35">
        <f>SUM(AH36:AS36)</f>
        <v>0</v>
      </c>
      <c r="AZ36" s="35">
        <f>SUM(AJ36:AU36)</f>
        <v>0</v>
      </c>
      <c r="BB36" s="23">
        <f t="shared" si="2"/>
        <v>0</v>
      </c>
      <c r="BC36" s="23">
        <f t="shared" si="3"/>
        <v>0</v>
      </c>
      <c r="BD36" s="23">
        <f t="shared" si="4"/>
        <v>0</v>
      </c>
      <c r="BE36" s="23">
        <f t="shared" si="5"/>
        <v>0</v>
      </c>
      <c r="BF36" s="23">
        <f t="shared" si="6"/>
        <v>0</v>
      </c>
      <c r="BG36" s="23">
        <f t="shared" si="7"/>
        <v>0</v>
      </c>
      <c r="BH36" s="23">
        <f t="shared" si="8"/>
        <v>0</v>
      </c>
      <c r="BI36" s="23">
        <f t="shared" si="9"/>
        <v>0</v>
      </c>
      <c r="BJ36" s="23">
        <f t="shared" si="10"/>
        <v>0</v>
      </c>
      <c r="BK36" s="23">
        <f t="shared" si="11"/>
        <v>0</v>
      </c>
      <c r="BL36" s="23">
        <f t="shared" si="12"/>
        <v>0</v>
      </c>
      <c r="BM36" s="24">
        <f t="shared" si="13"/>
        <v>0</v>
      </c>
      <c r="BN36" s="23">
        <f t="shared" si="14"/>
        <v>0</v>
      </c>
      <c r="BO36" s="23">
        <f t="shared" si="15"/>
        <v>0</v>
      </c>
      <c r="BP36" s="23">
        <f t="shared" si="16"/>
        <v>0</v>
      </c>
      <c r="BQ36" s="23">
        <f t="shared" si="17"/>
        <v>0</v>
      </c>
      <c r="BR36" s="23">
        <f t="shared" si="18"/>
        <v>0</v>
      </c>
      <c r="BS36" s="23">
        <f t="shared" si="19"/>
        <v>0</v>
      </c>
      <c r="BT36" s="23">
        <f t="shared" si="20"/>
        <v>0</v>
      </c>
      <c r="BU36" s="23">
        <f t="shared" si="21"/>
        <v>0</v>
      </c>
      <c r="BV36" s="23">
        <f t="shared" si="22"/>
        <v>0</v>
      </c>
      <c r="BW36" s="23">
        <f t="shared" si="23"/>
        <v>0</v>
      </c>
      <c r="BX36" s="23">
        <f t="shared" si="24"/>
        <v>0</v>
      </c>
      <c r="BY36" s="24">
        <f t="shared" si="25"/>
        <v>0</v>
      </c>
      <c r="BZ36" s="23">
        <f t="shared" si="26"/>
        <v>0</v>
      </c>
      <c r="CA36" s="23">
        <f t="shared" si="27"/>
        <v>0</v>
      </c>
      <c r="CB36" s="23">
        <f t="shared" si="28"/>
        <v>0</v>
      </c>
      <c r="CC36" s="23">
        <f t="shared" si="29"/>
        <v>0</v>
      </c>
      <c r="CD36" s="23">
        <f t="shared" si="30"/>
        <v>0</v>
      </c>
      <c r="CE36" s="23">
        <f t="shared" si="31"/>
        <v>0</v>
      </c>
      <c r="CF36" s="23">
        <f t="shared" si="32"/>
        <v>0</v>
      </c>
      <c r="CG36" s="23">
        <f t="shared" si="33"/>
        <v>0</v>
      </c>
      <c r="CH36" s="23">
        <f t="shared" si="34"/>
        <v>0</v>
      </c>
      <c r="CI36" s="23">
        <f t="shared" si="35"/>
        <v>0</v>
      </c>
      <c r="CJ36" s="23">
        <f t="shared" si="36"/>
        <v>0</v>
      </c>
      <c r="CK36" s="24">
        <f t="shared" si="37"/>
        <v>0</v>
      </c>
      <c r="CL36" s="42">
        <f t="shared" si="38"/>
        <v>0</v>
      </c>
      <c r="CM36" s="42">
        <f t="shared" si="39"/>
        <v>0</v>
      </c>
      <c r="CN36" s="42">
        <f t="shared" si="40"/>
        <v>0</v>
      </c>
      <c r="CO36" s="42">
        <f t="shared" si="41"/>
        <v>0</v>
      </c>
      <c r="CP36" s="42">
        <f t="shared" si="42"/>
        <v>0</v>
      </c>
      <c r="CQ36" s="90">
        <f t="shared" si="43"/>
        <v>0</v>
      </c>
      <c r="CR36" s="23">
        <f t="shared" si="44"/>
        <v>0</v>
      </c>
      <c r="CS36" s="23">
        <f t="shared" si="45"/>
        <v>0</v>
      </c>
      <c r="CT36" s="23">
        <f t="shared" si="46"/>
        <v>0</v>
      </c>
      <c r="CU36" s="23">
        <f t="shared" si="47"/>
        <v>0</v>
      </c>
      <c r="CV36" s="23">
        <f t="shared" si="48"/>
        <v>0</v>
      </c>
    </row>
    <row r="37" spans="1:100" ht="12" customHeight="1" outlineLevel="1">
      <c r="C37" s="13" t="s">
        <v>66</v>
      </c>
      <c r="D37" s="12" t="s">
        <v>67</v>
      </c>
      <c r="E37" s="12" t="s">
        <v>68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6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6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  <c r="AO37" s="36">
        <v>0</v>
      </c>
      <c r="AP37" s="35">
        <v>0</v>
      </c>
      <c r="AQ37" s="35">
        <v>0</v>
      </c>
      <c r="AR37" s="35">
        <v>0</v>
      </c>
      <c r="AS37" s="35">
        <v>0</v>
      </c>
      <c r="AT37" s="35">
        <v>0</v>
      </c>
      <c r="AU37" s="37">
        <v>0</v>
      </c>
      <c r="AV37" s="35">
        <f>SUM(F37:Q37)</f>
        <v>0</v>
      </c>
      <c r="AW37" s="35">
        <f>SUM(R37:AC37)</f>
        <v>0</v>
      </c>
      <c r="AX37" s="35">
        <f>SUM(AD37:AO37)</f>
        <v>0</v>
      </c>
      <c r="AY37" s="35">
        <f>SUM(AH37:AS37)</f>
        <v>0</v>
      </c>
      <c r="AZ37" s="35">
        <f>SUM(AJ37:AU37)</f>
        <v>0</v>
      </c>
      <c r="BB37" s="23">
        <f t="shared" si="2"/>
        <v>0</v>
      </c>
      <c r="BC37" s="23">
        <f t="shared" si="3"/>
        <v>0</v>
      </c>
      <c r="BD37" s="23">
        <f t="shared" si="4"/>
        <v>0</v>
      </c>
      <c r="BE37" s="23">
        <f t="shared" si="5"/>
        <v>0</v>
      </c>
      <c r="BF37" s="23">
        <f t="shared" si="6"/>
        <v>0</v>
      </c>
      <c r="BG37" s="23">
        <f t="shared" si="7"/>
        <v>0</v>
      </c>
      <c r="BH37" s="23">
        <f t="shared" si="8"/>
        <v>0</v>
      </c>
      <c r="BI37" s="23">
        <f t="shared" si="9"/>
        <v>0</v>
      </c>
      <c r="BJ37" s="23">
        <f t="shared" si="10"/>
        <v>0</v>
      </c>
      <c r="BK37" s="23">
        <f t="shared" si="11"/>
        <v>0</v>
      </c>
      <c r="BL37" s="23">
        <f t="shared" si="12"/>
        <v>0</v>
      </c>
      <c r="BM37" s="24">
        <f t="shared" si="13"/>
        <v>0</v>
      </c>
      <c r="BN37" s="23">
        <f t="shared" si="14"/>
        <v>0</v>
      </c>
      <c r="BO37" s="23">
        <f t="shared" si="15"/>
        <v>0</v>
      </c>
      <c r="BP37" s="23">
        <f t="shared" si="16"/>
        <v>0</v>
      </c>
      <c r="BQ37" s="23">
        <f t="shared" si="17"/>
        <v>0</v>
      </c>
      <c r="BR37" s="23">
        <f t="shared" si="18"/>
        <v>0</v>
      </c>
      <c r="BS37" s="23">
        <f t="shared" si="19"/>
        <v>0</v>
      </c>
      <c r="BT37" s="23">
        <f t="shared" si="20"/>
        <v>0</v>
      </c>
      <c r="BU37" s="23">
        <f t="shared" si="21"/>
        <v>0</v>
      </c>
      <c r="BV37" s="23">
        <f t="shared" si="22"/>
        <v>0</v>
      </c>
      <c r="BW37" s="23">
        <f t="shared" si="23"/>
        <v>0</v>
      </c>
      <c r="BX37" s="23">
        <f t="shared" si="24"/>
        <v>0</v>
      </c>
      <c r="BY37" s="24">
        <f t="shared" si="25"/>
        <v>0</v>
      </c>
      <c r="BZ37" s="23">
        <f t="shared" si="26"/>
        <v>0</v>
      </c>
      <c r="CA37" s="23">
        <f t="shared" si="27"/>
        <v>0</v>
      </c>
      <c r="CB37" s="23">
        <f t="shared" si="28"/>
        <v>0</v>
      </c>
      <c r="CC37" s="23">
        <f t="shared" si="29"/>
        <v>0</v>
      </c>
      <c r="CD37" s="23">
        <f t="shared" si="30"/>
        <v>0</v>
      </c>
      <c r="CE37" s="23">
        <f t="shared" si="31"/>
        <v>0</v>
      </c>
      <c r="CF37" s="23">
        <f t="shared" si="32"/>
        <v>0</v>
      </c>
      <c r="CG37" s="23">
        <f t="shared" si="33"/>
        <v>0</v>
      </c>
      <c r="CH37" s="23">
        <f t="shared" si="34"/>
        <v>0</v>
      </c>
      <c r="CI37" s="23">
        <f t="shared" si="35"/>
        <v>0</v>
      </c>
      <c r="CJ37" s="23">
        <f t="shared" si="36"/>
        <v>0</v>
      </c>
      <c r="CK37" s="24">
        <f t="shared" si="37"/>
        <v>0</v>
      </c>
      <c r="CL37" s="42">
        <f t="shared" si="38"/>
        <v>0</v>
      </c>
      <c r="CM37" s="42">
        <f t="shared" si="39"/>
        <v>0</v>
      </c>
      <c r="CN37" s="42">
        <f t="shared" si="40"/>
        <v>0</v>
      </c>
      <c r="CO37" s="42">
        <f t="shared" si="41"/>
        <v>0</v>
      </c>
      <c r="CP37" s="42">
        <f t="shared" si="42"/>
        <v>0</v>
      </c>
      <c r="CQ37" s="90">
        <f t="shared" si="43"/>
        <v>0</v>
      </c>
      <c r="CR37" s="23">
        <f t="shared" si="44"/>
        <v>0</v>
      </c>
      <c r="CS37" s="23">
        <f t="shared" si="45"/>
        <v>0</v>
      </c>
      <c r="CT37" s="23">
        <f t="shared" si="46"/>
        <v>0</v>
      </c>
      <c r="CU37" s="23">
        <f t="shared" si="47"/>
        <v>0</v>
      </c>
      <c r="CV37" s="23">
        <f t="shared" si="48"/>
        <v>0</v>
      </c>
    </row>
    <row r="38" spans="1:100" ht="12" customHeight="1" outlineLevel="1">
      <c r="C38" s="15" t="s">
        <v>69</v>
      </c>
      <c r="D38" s="16" t="s">
        <v>70</v>
      </c>
      <c r="E38" s="16" t="s">
        <v>71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9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9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8">
        <v>0</v>
      </c>
      <c r="AJ38" s="38">
        <v>0</v>
      </c>
      <c r="AK38" s="38">
        <v>0</v>
      </c>
      <c r="AL38" s="38">
        <v>0</v>
      </c>
      <c r="AM38" s="38">
        <v>0</v>
      </c>
      <c r="AN38" s="38">
        <v>0</v>
      </c>
      <c r="AO38" s="39">
        <v>0</v>
      </c>
      <c r="AP38" s="38">
        <v>0</v>
      </c>
      <c r="AQ38" s="38">
        <v>0</v>
      </c>
      <c r="AR38" s="38">
        <v>0</v>
      </c>
      <c r="AS38" s="38">
        <v>0</v>
      </c>
      <c r="AT38" s="38">
        <v>0</v>
      </c>
      <c r="AU38" s="40">
        <v>0</v>
      </c>
      <c r="AV38" s="38">
        <f>SUM(F38:Q38)</f>
        <v>0</v>
      </c>
      <c r="AW38" s="38">
        <f>SUM(R38:AC38)</f>
        <v>0</v>
      </c>
      <c r="AX38" s="38">
        <f>SUM(AD38:AO38)</f>
        <v>0</v>
      </c>
      <c r="AY38" s="38">
        <f>SUM(AH38:AS38)</f>
        <v>0</v>
      </c>
      <c r="AZ38" s="38">
        <f>SUM(AJ38:AU38)</f>
        <v>0</v>
      </c>
      <c r="BB38" s="25">
        <f t="shared" si="2"/>
        <v>0</v>
      </c>
      <c r="BC38" s="25">
        <f t="shared" si="3"/>
        <v>0</v>
      </c>
      <c r="BD38" s="25">
        <f t="shared" si="4"/>
        <v>0</v>
      </c>
      <c r="BE38" s="25">
        <f t="shared" si="5"/>
        <v>0</v>
      </c>
      <c r="BF38" s="25">
        <f t="shared" si="6"/>
        <v>0</v>
      </c>
      <c r="BG38" s="25">
        <f t="shared" si="7"/>
        <v>0</v>
      </c>
      <c r="BH38" s="25">
        <f t="shared" si="8"/>
        <v>0</v>
      </c>
      <c r="BI38" s="25">
        <f t="shared" si="9"/>
        <v>0</v>
      </c>
      <c r="BJ38" s="25">
        <f t="shared" si="10"/>
        <v>0</v>
      </c>
      <c r="BK38" s="25">
        <f t="shared" si="11"/>
        <v>0</v>
      </c>
      <c r="BL38" s="25">
        <f t="shared" si="12"/>
        <v>0</v>
      </c>
      <c r="BM38" s="26">
        <f t="shared" si="13"/>
        <v>0</v>
      </c>
      <c r="BN38" s="25">
        <f t="shared" si="14"/>
        <v>0</v>
      </c>
      <c r="BO38" s="25">
        <f t="shared" si="15"/>
        <v>0</v>
      </c>
      <c r="BP38" s="25">
        <f t="shared" si="16"/>
        <v>0</v>
      </c>
      <c r="BQ38" s="25">
        <f t="shared" si="17"/>
        <v>0</v>
      </c>
      <c r="BR38" s="25">
        <f t="shared" si="18"/>
        <v>0</v>
      </c>
      <c r="BS38" s="25">
        <f t="shared" si="19"/>
        <v>0</v>
      </c>
      <c r="BT38" s="25">
        <f t="shared" si="20"/>
        <v>0</v>
      </c>
      <c r="BU38" s="25">
        <f t="shared" si="21"/>
        <v>0</v>
      </c>
      <c r="BV38" s="25">
        <f t="shared" si="22"/>
        <v>0</v>
      </c>
      <c r="BW38" s="25">
        <f t="shared" si="23"/>
        <v>0</v>
      </c>
      <c r="BX38" s="25">
        <f t="shared" si="24"/>
        <v>0</v>
      </c>
      <c r="BY38" s="26">
        <f t="shared" si="25"/>
        <v>0</v>
      </c>
      <c r="BZ38" s="25">
        <f t="shared" si="26"/>
        <v>0</v>
      </c>
      <c r="CA38" s="25">
        <f t="shared" si="27"/>
        <v>0</v>
      </c>
      <c r="CB38" s="25">
        <f t="shared" si="28"/>
        <v>0</v>
      </c>
      <c r="CC38" s="25">
        <f t="shared" si="29"/>
        <v>0</v>
      </c>
      <c r="CD38" s="25">
        <f t="shared" si="30"/>
        <v>0</v>
      </c>
      <c r="CE38" s="25">
        <f t="shared" si="31"/>
        <v>0</v>
      </c>
      <c r="CF38" s="25">
        <f t="shared" si="32"/>
        <v>0</v>
      </c>
      <c r="CG38" s="25">
        <f t="shared" si="33"/>
        <v>0</v>
      </c>
      <c r="CH38" s="25">
        <f t="shared" si="34"/>
        <v>0</v>
      </c>
      <c r="CI38" s="25">
        <f t="shared" si="35"/>
        <v>0</v>
      </c>
      <c r="CJ38" s="25">
        <f t="shared" si="36"/>
        <v>0</v>
      </c>
      <c r="CK38" s="26">
        <f t="shared" si="37"/>
        <v>0</v>
      </c>
      <c r="CL38" s="43">
        <f t="shared" si="38"/>
        <v>0</v>
      </c>
      <c r="CM38" s="43">
        <f t="shared" si="39"/>
        <v>0</v>
      </c>
      <c r="CN38" s="43">
        <f t="shared" si="40"/>
        <v>0</v>
      </c>
      <c r="CO38" s="43">
        <f t="shared" si="41"/>
        <v>0</v>
      </c>
      <c r="CP38" s="43">
        <f t="shared" si="42"/>
        <v>0</v>
      </c>
      <c r="CQ38" s="91">
        <f t="shared" si="43"/>
        <v>0</v>
      </c>
      <c r="CR38" s="25">
        <f t="shared" si="44"/>
        <v>0</v>
      </c>
      <c r="CS38" s="25">
        <f t="shared" si="45"/>
        <v>0</v>
      </c>
      <c r="CT38" s="25">
        <f t="shared" si="46"/>
        <v>0</v>
      </c>
      <c r="CU38" s="25">
        <f t="shared" si="47"/>
        <v>0</v>
      </c>
      <c r="CV38" s="25">
        <f t="shared" si="48"/>
        <v>0</v>
      </c>
    </row>
    <row r="39" spans="1:100" ht="12" customHeight="1">
      <c r="C39" s="14" t="s">
        <v>17</v>
      </c>
      <c r="D39" s="12"/>
      <c r="E39" s="12"/>
      <c r="F39" s="35">
        <f t="shared" ref="F39:AZ39" si="54">SUM(F35:F38)</f>
        <v>0</v>
      </c>
      <c r="G39" s="35">
        <f t="shared" si="54"/>
        <v>0</v>
      </c>
      <c r="H39" s="35">
        <f t="shared" si="54"/>
        <v>0</v>
      </c>
      <c r="I39" s="35">
        <f t="shared" si="54"/>
        <v>0</v>
      </c>
      <c r="J39" s="35">
        <f t="shared" si="54"/>
        <v>0</v>
      </c>
      <c r="K39" s="35">
        <f t="shared" si="54"/>
        <v>0</v>
      </c>
      <c r="L39" s="35">
        <f t="shared" si="54"/>
        <v>0</v>
      </c>
      <c r="M39" s="35">
        <f t="shared" si="54"/>
        <v>0</v>
      </c>
      <c r="N39" s="35">
        <f t="shared" si="54"/>
        <v>0</v>
      </c>
      <c r="O39" s="35">
        <f t="shared" si="54"/>
        <v>0</v>
      </c>
      <c r="P39" s="35">
        <f t="shared" si="54"/>
        <v>0</v>
      </c>
      <c r="Q39" s="36">
        <f t="shared" si="54"/>
        <v>0</v>
      </c>
      <c r="R39" s="35">
        <f t="shared" si="54"/>
        <v>0</v>
      </c>
      <c r="S39" s="35">
        <f t="shared" si="54"/>
        <v>0</v>
      </c>
      <c r="T39" s="35">
        <f t="shared" si="54"/>
        <v>0</v>
      </c>
      <c r="U39" s="35">
        <f t="shared" si="54"/>
        <v>0</v>
      </c>
      <c r="V39" s="35">
        <f t="shared" si="54"/>
        <v>0</v>
      </c>
      <c r="W39" s="35">
        <f t="shared" si="54"/>
        <v>0</v>
      </c>
      <c r="X39" s="35">
        <f t="shared" si="54"/>
        <v>0</v>
      </c>
      <c r="Y39" s="35">
        <f t="shared" si="54"/>
        <v>0</v>
      </c>
      <c r="Z39" s="35">
        <f t="shared" si="54"/>
        <v>0</v>
      </c>
      <c r="AA39" s="35">
        <f t="shared" si="54"/>
        <v>0</v>
      </c>
      <c r="AB39" s="35">
        <f t="shared" si="54"/>
        <v>0</v>
      </c>
      <c r="AC39" s="36">
        <f t="shared" si="54"/>
        <v>0</v>
      </c>
      <c r="AD39" s="35">
        <f t="shared" si="54"/>
        <v>0</v>
      </c>
      <c r="AE39" s="35">
        <f t="shared" si="54"/>
        <v>0</v>
      </c>
      <c r="AF39" s="35">
        <f t="shared" si="54"/>
        <v>0</v>
      </c>
      <c r="AG39" s="35">
        <f t="shared" si="54"/>
        <v>0</v>
      </c>
      <c r="AH39" s="35">
        <f t="shared" si="54"/>
        <v>0</v>
      </c>
      <c r="AI39" s="35">
        <f t="shared" si="54"/>
        <v>0</v>
      </c>
      <c r="AJ39" s="35">
        <f t="shared" si="54"/>
        <v>0</v>
      </c>
      <c r="AK39" s="35">
        <f t="shared" si="54"/>
        <v>0</v>
      </c>
      <c r="AL39" s="35">
        <f t="shared" si="54"/>
        <v>0</v>
      </c>
      <c r="AM39" s="35">
        <f t="shared" si="54"/>
        <v>0</v>
      </c>
      <c r="AN39" s="35">
        <f t="shared" si="54"/>
        <v>0</v>
      </c>
      <c r="AO39" s="36">
        <f t="shared" si="54"/>
        <v>0</v>
      </c>
      <c r="AP39" s="35">
        <f t="shared" si="54"/>
        <v>0</v>
      </c>
      <c r="AQ39" s="35">
        <f t="shared" si="54"/>
        <v>0</v>
      </c>
      <c r="AR39" s="35">
        <f t="shared" si="54"/>
        <v>0</v>
      </c>
      <c r="AS39" s="35">
        <f t="shared" si="54"/>
        <v>0</v>
      </c>
      <c r="AT39" s="35">
        <f t="shared" si="54"/>
        <v>0</v>
      </c>
      <c r="AU39" s="37">
        <f t="shared" si="54"/>
        <v>0</v>
      </c>
      <c r="AV39" s="35">
        <f t="shared" si="54"/>
        <v>0</v>
      </c>
      <c r="AW39" s="35">
        <f t="shared" si="54"/>
        <v>0</v>
      </c>
      <c r="AX39" s="35">
        <f t="shared" si="54"/>
        <v>0</v>
      </c>
      <c r="AY39" s="35">
        <f t="shared" si="54"/>
        <v>0</v>
      </c>
      <c r="AZ39" s="35">
        <f t="shared" si="54"/>
        <v>0</v>
      </c>
      <c r="BB39" s="23">
        <f t="shared" si="2"/>
        <v>0</v>
      </c>
      <c r="BC39" s="23">
        <f t="shared" si="3"/>
        <v>0</v>
      </c>
      <c r="BD39" s="23">
        <f t="shared" si="4"/>
        <v>0</v>
      </c>
      <c r="BE39" s="23">
        <f t="shared" si="5"/>
        <v>0</v>
      </c>
      <c r="BF39" s="23">
        <f t="shared" si="6"/>
        <v>0</v>
      </c>
      <c r="BG39" s="23">
        <f t="shared" si="7"/>
        <v>0</v>
      </c>
      <c r="BH39" s="23">
        <f t="shared" si="8"/>
        <v>0</v>
      </c>
      <c r="BI39" s="23">
        <f t="shared" si="9"/>
        <v>0</v>
      </c>
      <c r="BJ39" s="23">
        <f t="shared" si="10"/>
        <v>0</v>
      </c>
      <c r="BK39" s="23">
        <f t="shared" si="11"/>
        <v>0</v>
      </c>
      <c r="BL39" s="23">
        <f t="shared" si="12"/>
        <v>0</v>
      </c>
      <c r="BM39" s="24">
        <f t="shared" si="13"/>
        <v>0</v>
      </c>
      <c r="BN39" s="23">
        <f t="shared" si="14"/>
        <v>0</v>
      </c>
      <c r="BO39" s="23">
        <f t="shared" si="15"/>
        <v>0</v>
      </c>
      <c r="BP39" s="23">
        <f t="shared" si="16"/>
        <v>0</v>
      </c>
      <c r="BQ39" s="23">
        <f t="shared" si="17"/>
        <v>0</v>
      </c>
      <c r="BR39" s="23">
        <f t="shared" si="18"/>
        <v>0</v>
      </c>
      <c r="BS39" s="23">
        <f t="shared" si="19"/>
        <v>0</v>
      </c>
      <c r="BT39" s="23">
        <f t="shared" si="20"/>
        <v>0</v>
      </c>
      <c r="BU39" s="23">
        <f t="shared" si="21"/>
        <v>0</v>
      </c>
      <c r="BV39" s="23">
        <f t="shared" si="22"/>
        <v>0</v>
      </c>
      <c r="BW39" s="23">
        <f t="shared" si="23"/>
        <v>0</v>
      </c>
      <c r="BX39" s="23">
        <f t="shared" si="24"/>
        <v>0</v>
      </c>
      <c r="BY39" s="24">
        <f t="shared" si="25"/>
        <v>0</v>
      </c>
      <c r="BZ39" s="23">
        <f t="shared" si="26"/>
        <v>0</v>
      </c>
      <c r="CA39" s="23">
        <f t="shared" si="27"/>
        <v>0</v>
      </c>
      <c r="CB39" s="23">
        <f t="shared" si="28"/>
        <v>0</v>
      </c>
      <c r="CC39" s="23">
        <f t="shared" si="29"/>
        <v>0</v>
      </c>
      <c r="CD39" s="23">
        <f t="shared" si="30"/>
        <v>0</v>
      </c>
      <c r="CE39" s="23">
        <f t="shared" si="31"/>
        <v>0</v>
      </c>
      <c r="CF39" s="23">
        <f t="shared" si="32"/>
        <v>0</v>
      </c>
      <c r="CG39" s="23">
        <f t="shared" si="33"/>
        <v>0</v>
      </c>
      <c r="CH39" s="23">
        <f t="shared" si="34"/>
        <v>0</v>
      </c>
      <c r="CI39" s="23">
        <f t="shared" si="35"/>
        <v>0</v>
      </c>
      <c r="CJ39" s="23">
        <f t="shared" si="36"/>
        <v>0</v>
      </c>
      <c r="CK39" s="24">
        <f t="shared" si="37"/>
        <v>0</v>
      </c>
      <c r="CL39" s="42">
        <f t="shared" si="38"/>
        <v>0</v>
      </c>
      <c r="CM39" s="42">
        <f t="shared" si="39"/>
        <v>0</v>
      </c>
      <c r="CN39" s="42">
        <f t="shared" si="40"/>
        <v>0</v>
      </c>
      <c r="CO39" s="42">
        <f t="shared" si="41"/>
        <v>0</v>
      </c>
      <c r="CP39" s="42">
        <f t="shared" si="42"/>
        <v>0</v>
      </c>
      <c r="CQ39" s="90">
        <f t="shared" si="43"/>
        <v>0</v>
      </c>
      <c r="CR39" s="23">
        <f t="shared" si="44"/>
        <v>0</v>
      </c>
      <c r="CS39" s="23">
        <f t="shared" si="45"/>
        <v>0</v>
      </c>
      <c r="CT39" s="23">
        <f t="shared" si="46"/>
        <v>0</v>
      </c>
      <c r="CU39" s="23">
        <f t="shared" si="47"/>
        <v>0</v>
      </c>
      <c r="CV39" s="23">
        <f t="shared" si="48"/>
        <v>0</v>
      </c>
    </row>
    <row r="40" spans="1:100" ht="12" customHeight="1" outlineLevel="1">
      <c r="C40" s="13" t="s">
        <v>60</v>
      </c>
      <c r="D40" s="12" t="s">
        <v>61</v>
      </c>
      <c r="E40" s="12" t="s">
        <v>62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6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6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6">
        <v>0</v>
      </c>
      <c r="AP40" s="35">
        <v>0</v>
      </c>
      <c r="AQ40" s="35">
        <v>0</v>
      </c>
      <c r="AR40" s="35">
        <v>0</v>
      </c>
      <c r="AS40" s="35">
        <v>0</v>
      </c>
      <c r="AT40" s="35">
        <v>0</v>
      </c>
      <c r="AU40" s="37">
        <v>0</v>
      </c>
      <c r="AV40" s="35">
        <f>SUM(F40:Q40)</f>
        <v>0</v>
      </c>
      <c r="AW40" s="35">
        <f>SUM(R40:AC40)</f>
        <v>0</v>
      </c>
      <c r="AX40" s="35">
        <f>SUM(AD40:AO40)</f>
        <v>0</v>
      </c>
      <c r="AY40" s="35">
        <f>SUM(AH40:AS40)</f>
        <v>0</v>
      </c>
      <c r="AZ40" s="35">
        <f>SUM(AJ40:AU40)</f>
        <v>0</v>
      </c>
      <c r="BB40" s="23">
        <f t="shared" si="2"/>
        <v>0</v>
      </c>
      <c r="BC40" s="23">
        <f t="shared" si="3"/>
        <v>0</v>
      </c>
      <c r="BD40" s="23">
        <f t="shared" si="4"/>
        <v>0</v>
      </c>
      <c r="BE40" s="23">
        <f t="shared" si="5"/>
        <v>0</v>
      </c>
      <c r="BF40" s="23">
        <f t="shared" si="6"/>
        <v>0</v>
      </c>
      <c r="BG40" s="23">
        <f t="shared" si="7"/>
        <v>0</v>
      </c>
      <c r="BH40" s="23">
        <f t="shared" si="8"/>
        <v>0</v>
      </c>
      <c r="BI40" s="23">
        <f t="shared" si="9"/>
        <v>0</v>
      </c>
      <c r="BJ40" s="23">
        <f t="shared" si="10"/>
        <v>0</v>
      </c>
      <c r="BK40" s="23">
        <f t="shared" si="11"/>
        <v>0</v>
      </c>
      <c r="BL40" s="23">
        <f t="shared" si="12"/>
        <v>0</v>
      </c>
      <c r="BM40" s="24">
        <f t="shared" si="13"/>
        <v>0</v>
      </c>
      <c r="BN40" s="23">
        <f t="shared" si="14"/>
        <v>0</v>
      </c>
      <c r="BO40" s="23">
        <f t="shared" si="15"/>
        <v>0</v>
      </c>
      <c r="BP40" s="23">
        <f t="shared" si="16"/>
        <v>0</v>
      </c>
      <c r="BQ40" s="23">
        <f t="shared" si="17"/>
        <v>0</v>
      </c>
      <c r="BR40" s="23">
        <f t="shared" si="18"/>
        <v>0</v>
      </c>
      <c r="BS40" s="23">
        <f t="shared" si="19"/>
        <v>0</v>
      </c>
      <c r="BT40" s="23">
        <f t="shared" si="20"/>
        <v>0</v>
      </c>
      <c r="BU40" s="23">
        <f t="shared" si="21"/>
        <v>0</v>
      </c>
      <c r="BV40" s="23">
        <f t="shared" si="22"/>
        <v>0</v>
      </c>
      <c r="BW40" s="23">
        <f t="shared" si="23"/>
        <v>0</v>
      </c>
      <c r="BX40" s="23">
        <f t="shared" si="24"/>
        <v>0</v>
      </c>
      <c r="BY40" s="24">
        <f t="shared" si="25"/>
        <v>0</v>
      </c>
      <c r="BZ40" s="23">
        <f t="shared" si="26"/>
        <v>0</v>
      </c>
      <c r="CA40" s="23">
        <f t="shared" si="27"/>
        <v>0</v>
      </c>
      <c r="CB40" s="23">
        <f t="shared" si="28"/>
        <v>0</v>
      </c>
      <c r="CC40" s="23">
        <f t="shared" si="29"/>
        <v>0</v>
      </c>
      <c r="CD40" s="23">
        <f t="shared" si="30"/>
        <v>0</v>
      </c>
      <c r="CE40" s="23">
        <f t="shared" si="31"/>
        <v>0</v>
      </c>
      <c r="CF40" s="23">
        <f t="shared" si="32"/>
        <v>0</v>
      </c>
      <c r="CG40" s="23">
        <f t="shared" si="33"/>
        <v>0</v>
      </c>
      <c r="CH40" s="23">
        <f t="shared" si="34"/>
        <v>0</v>
      </c>
      <c r="CI40" s="23">
        <f t="shared" si="35"/>
        <v>0</v>
      </c>
      <c r="CJ40" s="23">
        <f t="shared" si="36"/>
        <v>0</v>
      </c>
      <c r="CK40" s="24">
        <f t="shared" si="37"/>
        <v>0</v>
      </c>
      <c r="CL40" s="42">
        <f t="shared" si="38"/>
        <v>0</v>
      </c>
      <c r="CM40" s="42">
        <f t="shared" si="39"/>
        <v>0</v>
      </c>
      <c r="CN40" s="42">
        <f t="shared" si="40"/>
        <v>0</v>
      </c>
      <c r="CO40" s="42">
        <f t="shared" si="41"/>
        <v>0</v>
      </c>
      <c r="CP40" s="42">
        <f t="shared" si="42"/>
        <v>0</v>
      </c>
      <c r="CQ40" s="90">
        <f t="shared" si="43"/>
        <v>0</v>
      </c>
      <c r="CR40" s="23">
        <f t="shared" si="44"/>
        <v>0</v>
      </c>
      <c r="CS40" s="23">
        <f t="shared" si="45"/>
        <v>0</v>
      </c>
      <c r="CT40" s="23">
        <f t="shared" si="46"/>
        <v>0</v>
      </c>
      <c r="CU40" s="23">
        <f t="shared" si="47"/>
        <v>0</v>
      </c>
      <c r="CV40" s="23">
        <f t="shared" si="48"/>
        <v>0</v>
      </c>
    </row>
    <row r="41" spans="1:100" ht="12" customHeight="1" outlineLevel="1">
      <c r="C41" s="13" t="s">
        <v>63</v>
      </c>
      <c r="D41" s="12" t="s">
        <v>64</v>
      </c>
      <c r="E41" s="12" t="s">
        <v>65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6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6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6">
        <v>0</v>
      </c>
      <c r="AP41" s="35">
        <v>0</v>
      </c>
      <c r="AQ41" s="35">
        <v>0</v>
      </c>
      <c r="AR41" s="35">
        <v>0</v>
      </c>
      <c r="AS41" s="35">
        <v>0</v>
      </c>
      <c r="AT41" s="35">
        <v>0</v>
      </c>
      <c r="AU41" s="37">
        <v>0</v>
      </c>
      <c r="AV41" s="35">
        <f>SUM(F41:Q41)</f>
        <v>0</v>
      </c>
      <c r="AW41" s="35">
        <f>SUM(R41:AC41)</f>
        <v>0</v>
      </c>
      <c r="AX41" s="35">
        <f>SUM(AD41:AO41)</f>
        <v>0</v>
      </c>
      <c r="AY41" s="35">
        <f>SUM(AH41:AS41)</f>
        <v>0</v>
      </c>
      <c r="AZ41" s="35">
        <f>SUM(AJ41:AU41)</f>
        <v>0</v>
      </c>
      <c r="BB41" s="23">
        <f t="shared" si="2"/>
        <v>0</v>
      </c>
      <c r="BC41" s="23">
        <f t="shared" si="3"/>
        <v>0</v>
      </c>
      <c r="BD41" s="23">
        <f t="shared" si="4"/>
        <v>0</v>
      </c>
      <c r="BE41" s="23">
        <f t="shared" si="5"/>
        <v>0</v>
      </c>
      <c r="BF41" s="23">
        <f t="shared" si="6"/>
        <v>0</v>
      </c>
      <c r="BG41" s="23">
        <f t="shared" si="7"/>
        <v>0</v>
      </c>
      <c r="BH41" s="23">
        <f t="shared" si="8"/>
        <v>0</v>
      </c>
      <c r="BI41" s="23">
        <f t="shared" si="9"/>
        <v>0</v>
      </c>
      <c r="BJ41" s="23">
        <f t="shared" si="10"/>
        <v>0</v>
      </c>
      <c r="BK41" s="23">
        <f t="shared" si="11"/>
        <v>0</v>
      </c>
      <c r="BL41" s="23">
        <f t="shared" si="12"/>
        <v>0</v>
      </c>
      <c r="BM41" s="24">
        <f t="shared" si="13"/>
        <v>0</v>
      </c>
      <c r="BN41" s="23">
        <f t="shared" si="14"/>
        <v>0</v>
      </c>
      <c r="BO41" s="23">
        <f t="shared" si="15"/>
        <v>0</v>
      </c>
      <c r="BP41" s="23">
        <f t="shared" si="16"/>
        <v>0</v>
      </c>
      <c r="BQ41" s="23">
        <f t="shared" si="17"/>
        <v>0</v>
      </c>
      <c r="BR41" s="23">
        <f t="shared" si="18"/>
        <v>0</v>
      </c>
      <c r="BS41" s="23">
        <f t="shared" si="19"/>
        <v>0</v>
      </c>
      <c r="BT41" s="23">
        <f t="shared" si="20"/>
        <v>0</v>
      </c>
      <c r="BU41" s="23">
        <f t="shared" si="21"/>
        <v>0</v>
      </c>
      <c r="BV41" s="23">
        <f t="shared" si="22"/>
        <v>0</v>
      </c>
      <c r="BW41" s="23">
        <f t="shared" si="23"/>
        <v>0</v>
      </c>
      <c r="BX41" s="23">
        <f t="shared" si="24"/>
        <v>0</v>
      </c>
      <c r="BY41" s="24">
        <f t="shared" si="25"/>
        <v>0</v>
      </c>
      <c r="BZ41" s="23">
        <f t="shared" si="26"/>
        <v>0</v>
      </c>
      <c r="CA41" s="23">
        <f t="shared" si="27"/>
        <v>0</v>
      </c>
      <c r="CB41" s="23">
        <f t="shared" si="28"/>
        <v>0</v>
      </c>
      <c r="CC41" s="23">
        <f t="shared" si="29"/>
        <v>0</v>
      </c>
      <c r="CD41" s="23">
        <f t="shared" si="30"/>
        <v>0</v>
      </c>
      <c r="CE41" s="23">
        <f t="shared" si="31"/>
        <v>0</v>
      </c>
      <c r="CF41" s="23">
        <f t="shared" si="32"/>
        <v>0</v>
      </c>
      <c r="CG41" s="23">
        <f t="shared" si="33"/>
        <v>0</v>
      </c>
      <c r="CH41" s="23">
        <f t="shared" si="34"/>
        <v>0</v>
      </c>
      <c r="CI41" s="23">
        <f t="shared" si="35"/>
        <v>0</v>
      </c>
      <c r="CJ41" s="23">
        <f t="shared" si="36"/>
        <v>0</v>
      </c>
      <c r="CK41" s="24">
        <f t="shared" si="37"/>
        <v>0</v>
      </c>
      <c r="CL41" s="42">
        <f t="shared" si="38"/>
        <v>0</v>
      </c>
      <c r="CM41" s="42">
        <f t="shared" si="39"/>
        <v>0</v>
      </c>
      <c r="CN41" s="42">
        <f t="shared" si="40"/>
        <v>0</v>
      </c>
      <c r="CO41" s="42">
        <f t="shared" si="41"/>
        <v>0</v>
      </c>
      <c r="CP41" s="42">
        <f t="shared" si="42"/>
        <v>0</v>
      </c>
      <c r="CQ41" s="90">
        <f t="shared" si="43"/>
        <v>0</v>
      </c>
      <c r="CR41" s="23">
        <f t="shared" si="44"/>
        <v>0</v>
      </c>
      <c r="CS41" s="23">
        <f t="shared" si="45"/>
        <v>0</v>
      </c>
      <c r="CT41" s="23">
        <f t="shared" si="46"/>
        <v>0</v>
      </c>
      <c r="CU41" s="23">
        <f t="shared" si="47"/>
        <v>0</v>
      </c>
      <c r="CV41" s="23">
        <f t="shared" si="48"/>
        <v>0</v>
      </c>
    </row>
    <row r="42" spans="1:100" ht="12" customHeight="1" outlineLevel="1">
      <c r="C42" s="13" t="s">
        <v>66</v>
      </c>
      <c r="D42" s="12" t="s">
        <v>67</v>
      </c>
      <c r="E42" s="12" t="s">
        <v>68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6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6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v>0</v>
      </c>
      <c r="AK42" s="35">
        <v>0</v>
      </c>
      <c r="AL42" s="35">
        <v>0</v>
      </c>
      <c r="AM42" s="35">
        <v>0</v>
      </c>
      <c r="AN42" s="35">
        <v>0</v>
      </c>
      <c r="AO42" s="36">
        <v>0</v>
      </c>
      <c r="AP42" s="35">
        <v>0</v>
      </c>
      <c r="AQ42" s="35">
        <v>0</v>
      </c>
      <c r="AR42" s="35">
        <v>0</v>
      </c>
      <c r="AS42" s="35">
        <v>0</v>
      </c>
      <c r="AT42" s="35">
        <v>0</v>
      </c>
      <c r="AU42" s="37">
        <v>0</v>
      </c>
      <c r="AV42" s="35">
        <f>SUM(F42:Q42)</f>
        <v>0</v>
      </c>
      <c r="AW42" s="35">
        <f>SUM(R42:AC42)</f>
        <v>0</v>
      </c>
      <c r="AX42" s="35">
        <f>SUM(AD42:AO42)</f>
        <v>0</v>
      </c>
      <c r="AY42" s="35">
        <f>SUM(AH42:AS42)</f>
        <v>0</v>
      </c>
      <c r="AZ42" s="35">
        <f>SUM(AJ42:AU42)</f>
        <v>0</v>
      </c>
      <c r="BB42" s="23">
        <f t="shared" si="2"/>
        <v>0</v>
      </c>
      <c r="BC42" s="23">
        <f t="shared" si="3"/>
        <v>0</v>
      </c>
      <c r="BD42" s="23">
        <f t="shared" si="4"/>
        <v>0</v>
      </c>
      <c r="BE42" s="23">
        <f t="shared" si="5"/>
        <v>0</v>
      </c>
      <c r="BF42" s="23">
        <f t="shared" si="6"/>
        <v>0</v>
      </c>
      <c r="BG42" s="23">
        <f t="shared" si="7"/>
        <v>0</v>
      </c>
      <c r="BH42" s="23">
        <f t="shared" si="8"/>
        <v>0</v>
      </c>
      <c r="BI42" s="23">
        <f t="shared" si="9"/>
        <v>0</v>
      </c>
      <c r="BJ42" s="23">
        <f t="shared" si="10"/>
        <v>0</v>
      </c>
      <c r="BK42" s="23">
        <f t="shared" si="11"/>
        <v>0</v>
      </c>
      <c r="BL42" s="23">
        <f t="shared" si="12"/>
        <v>0</v>
      </c>
      <c r="BM42" s="24">
        <f t="shared" si="13"/>
        <v>0</v>
      </c>
      <c r="BN42" s="23">
        <f t="shared" si="14"/>
        <v>0</v>
      </c>
      <c r="BO42" s="23">
        <f t="shared" si="15"/>
        <v>0</v>
      </c>
      <c r="BP42" s="23">
        <f t="shared" si="16"/>
        <v>0</v>
      </c>
      <c r="BQ42" s="23">
        <f t="shared" si="17"/>
        <v>0</v>
      </c>
      <c r="BR42" s="23">
        <f t="shared" si="18"/>
        <v>0</v>
      </c>
      <c r="BS42" s="23">
        <f t="shared" si="19"/>
        <v>0</v>
      </c>
      <c r="BT42" s="23">
        <f t="shared" si="20"/>
        <v>0</v>
      </c>
      <c r="BU42" s="23">
        <f t="shared" si="21"/>
        <v>0</v>
      </c>
      <c r="BV42" s="23">
        <f t="shared" si="22"/>
        <v>0</v>
      </c>
      <c r="BW42" s="23">
        <f t="shared" si="23"/>
        <v>0</v>
      </c>
      <c r="BX42" s="23">
        <f t="shared" si="24"/>
        <v>0</v>
      </c>
      <c r="BY42" s="24">
        <f t="shared" si="25"/>
        <v>0</v>
      </c>
      <c r="BZ42" s="23">
        <f t="shared" si="26"/>
        <v>0</v>
      </c>
      <c r="CA42" s="23">
        <f t="shared" si="27"/>
        <v>0</v>
      </c>
      <c r="CB42" s="23">
        <f t="shared" si="28"/>
        <v>0</v>
      </c>
      <c r="CC42" s="23">
        <f t="shared" si="29"/>
        <v>0</v>
      </c>
      <c r="CD42" s="23">
        <f t="shared" si="30"/>
        <v>0</v>
      </c>
      <c r="CE42" s="23">
        <f t="shared" si="31"/>
        <v>0</v>
      </c>
      <c r="CF42" s="23">
        <f t="shared" si="32"/>
        <v>0</v>
      </c>
      <c r="CG42" s="23">
        <f t="shared" si="33"/>
        <v>0</v>
      </c>
      <c r="CH42" s="23">
        <f t="shared" si="34"/>
        <v>0</v>
      </c>
      <c r="CI42" s="23">
        <f t="shared" si="35"/>
        <v>0</v>
      </c>
      <c r="CJ42" s="23">
        <f t="shared" si="36"/>
        <v>0</v>
      </c>
      <c r="CK42" s="24">
        <f t="shared" si="37"/>
        <v>0</v>
      </c>
      <c r="CL42" s="42">
        <f t="shared" si="38"/>
        <v>0</v>
      </c>
      <c r="CM42" s="42">
        <f t="shared" si="39"/>
        <v>0</v>
      </c>
      <c r="CN42" s="42">
        <f t="shared" si="40"/>
        <v>0</v>
      </c>
      <c r="CO42" s="42">
        <f t="shared" si="41"/>
        <v>0</v>
      </c>
      <c r="CP42" s="42">
        <f t="shared" si="42"/>
        <v>0</v>
      </c>
      <c r="CQ42" s="90">
        <f t="shared" si="43"/>
        <v>0</v>
      </c>
      <c r="CR42" s="23">
        <f t="shared" si="44"/>
        <v>0</v>
      </c>
      <c r="CS42" s="23">
        <f t="shared" si="45"/>
        <v>0</v>
      </c>
      <c r="CT42" s="23">
        <f t="shared" si="46"/>
        <v>0</v>
      </c>
      <c r="CU42" s="23">
        <f t="shared" si="47"/>
        <v>0</v>
      </c>
      <c r="CV42" s="23">
        <f t="shared" si="48"/>
        <v>0</v>
      </c>
    </row>
    <row r="43" spans="1:100" ht="12" customHeight="1" outlineLevel="1">
      <c r="C43" s="15" t="s">
        <v>69</v>
      </c>
      <c r="D43" s="16" t="s">
        <v>70</v>
      </c>
      <c r="E43" s="16" t="s">
        <v>71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9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39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38">
        <v>0</v>
      </c>
      <c r="AJ43" s="38">
        <v>0</v>
      </c>
      <c r="AK43" s="38">
        <v>0</v>
      </c>
      <c r="AL43" s="38">
        <v>0</v>
      </c>
      <c r="AM43" s="38">
        <v>0</v>
      </c>
      <c r="AN43" s="38">
        <v>0</v>
      </c>
      <c r="AO43" s="39">
        <v>0</v>
      </c>
      <c r="AP43" s="38">
        <v>0</v>
      </c>
      <c r="AQ43" s="38">
        <v>0</v>
      </c>
      <c r="AR43" s="38">
        <v>0</v>
      </c>
      <c r="AS43" s="38">
        <v>0</v>
      </c>
      <c r="AT43" s="38">
        <v>0</v>
      </c>
      <c r="AU43" s="40">
        <v>0</v>
      </c>
      <c r="AV43" s="38">
        <f>SUM(F43:Q43)</f>
        <v>0</v>
      </c>
      <c r="AW43" s="38">
        <f>SUM(R43:AC43)</f>
        <v>0</v>
      </c>
      <c r="AX43" s="38">
        <f>SUM(AD43:AO43)</f>
        <v>0</v>
      </c>
      <c r="AY43" s="38">
        <f>SUM(AH43:AS43)</f>
        <v>0</v>
      </c>
      <c r="AZ43" s="38">
        <f>SUM(AJ43:AU43)</f>
        <v>0</v>
      </c>
      <c r="BB43" s="25">
        <f t="shared" si="2"/>
        <v>0</v>
      </c>
      <c r="BC43" s="25">
        <f t="shared" si="3"/>
        <v>0</v>
      </c>
      <c r="BD43" s="25">
        <f t="shared" si="4"/>
        <v>0</v>
      </c>
      <c r="BE43" s="25">
        <f t="shared" si="5"/>
        <v>0</v>
      </c>
      <c r="BF43" s="25">
        <f t="shared" si="6"/>
        <v>0</v>
      </c>
      <c r="BG43" s="25">
        <f t="shared" si="7"/>
        <v>0</v>
      </c>
      <c r="BH43" s="25">
        <f t="shared" si="8"/>
        <v>0</v>
      </c>
      <c r="BI43" s="25">
        <f t="shared" si="9"/>
        <v>0</v>
      </c>
      <c r="BJ43" s="25">
        <f t="shared" si="10"/>
        <v>0</v>
      </c>
      <c r="BK43" s="25">
        <f t="shared" si="11"/>
        <v>0</v>
      </c>
      <c r="BL43" s="25">
        <f t="shared" si="12"/>
        <v>0</v>
      </c>
      <c r="BM43" s="26">
        <f t="shared" si="13"/>
        <v>0</v>
      </c>
      <c r="BN43" s="25">
        <f t="shared" si="14"/>
        <v>0</v>
      </c>
      <c r="BO43" s="25">
        <f t="shared" si="15"/>
        <v>0</v>
      </c>
      <c r="BP43" s="25">
        <f t="shared" si="16"/>
        <v>0</v>
      </c>
      <c r="BQ43" s="25">
        <f t="shared" si="17"/>
        <v>0</v>
      </c>
      <c r="BR43" s="25">
        <f t="shared" si="18"/>
        <v>0</v>
      </c>
      <c r="BS43" s="25">
        <f t="shared" si="19"/>
        <v>0</v>
      </c>
      <c r="BT43" s="25">
        <f t="shared" si="20"/>
        <v>0</v>
      </c>
      <c r="BU43" s="25">
        <f t="shared" si="21"/>
        <v>0</v>
      </c>
      <c r="BV43" s="25">
        <f t="shared" si="22"/>
        <v>0</v>
      </c>
      <c r="BW43" s="25">
        <f t="shared" si="23"/>
        <v>0</v>
      </c>
      <c r="BX43" s="25">
        <f t="shared" si="24"/>
        <v>0</v>
      </c>
      <c r="BY43" s="26">
        <f t="shared" si="25"/>
        <v>0</v>
      </c>
      <c r="BZ43" s="25">
        <f t="shared" si="26"/>
        <v>0</v>
      </c>
      <c r="CA43" s="25">
        <f t="shared" si="27"/>
        <v>0</v>
      </c>
      <c r="CB43" s="25">
        <f t="shared" si="28"/>
        <v>0</v>
      </c>
      <c r="CC43" s="25">
        <f t="shared" si="29"/>
        <v>0</v>
      </c>
      <c r="CD43" s="25">
        <f t="shared" si="30"/>
        <v>0</v>
      </c>
      <c r="CE43" s="25">
        <f t="shared" si="31"/>
        <v>0</v>
      </c>
      <c r="CF43" s="25">
        <f t="shared" si="32"/>
        <v>0</v>
      </c>
      <c r="CG43" s="25">
        <f t="shared" si="33"/>
        <v>0</v>
      </c>
      <c r="CH43" s="25">
        <f t="shared" si="34"/>
        <v>0</v>
      </c>
      <c r="CI43" s="25">
        <f t="shared" si="35"/>
        <v>0</v>
      </c>
      <c r="CJ43" s="25">
        <f t="shared" si="36"/>
        <v>0</v>
      </c>
      <c r="CK43" s="26">
        <f t="shared" si="37"/>
        <v>0</v>
      </c>
      <c r="CL43" s="43">
        <f t="shared" si="38"/>
        <v>0</v>
      </c>
      <c r="CM43" s="43">
        <f t="shared" si="39"/>
        <v>0</v>
      </c>
      <c r="CN43" s="43">
        <f t="shared" si="40"/>
        <v>0</v>
      </c>
      <c r="CO43" s="43">
        <f t="shared" si="41"/>
        <v>0</v>
      </c>
      <c r="CP43" s="43">
        <f t="shared" si="42"/>
        <v>0</v>
      </c>
      <c r="CQ43" s="91">
        <f t="shared" si="43"/>
        <v>0</v>
      </c>
      <c r="CR43" s="25">
        <f t="shared" si="44"/>
        <v>0</v>
      </c>
      <c r="CS43" s="25">
        <f t="shared" si="45"/>
        <v>0</v>
      </c>
      <c r="CT43" s="25">
        <f t="shared" si="46"/>
        <v>0</v>
      </c>
      <c r="CU43" s="25">
        <f t="shared" si="47"/>
        <v>0</v>
      </c>
      <c r="CV43" s="25">
        <f t="shared" si="48"/>
        <v>0</v>
      </c>
    </row>
    <row r="44" spans="1:100" ht="12" customHeight="1">
      <c r="C44" s="14" t="s">
        <v>15</v>
      </c>
      <c r="D44" s="12"/>
      <c r="E44" s="12"/>
      <c r="F44" s="35">
        <f t="shared" ref="F44:AZ44" si="55">SUM(F40:F43)</f>
        <v>0</v>
      </c>
      <c r="G44" s="35">
        <f t="shared" si="55"/>
        <v>0</v>
      </c>
      <c r="H44" s="35">
        <f t="shared" si="55"/>
        <v>0</v>
      </c>
      <c r="I44" s="35">
        <f t="shared" si="55"/>
        <v>0</v>
      </c>
      <c r="J44" s="35">
        <f t="shared" si="55"/>
        <v>0</v>
      </c>
      <c r="K44" s="35">
        <f t="shared" si="55"/>
        <v>0</v>
      </c>
      <c r="L44" s="35">
        <f t="shared" si="55"/>
        <v>0</v>
      </c>
      <c r="M44" s="35">
        <f t="shared" si="55"/>
        <v>0</v>
      </c>
      <c r="N44" s="35">
        <f t="shared" si="55"/>
        <v>0</v>
      </c>
      <c r="O44" s="35">
        <f t="shared" si="55"/>
        <v>0</v>
      </c>
      <c r="P44" s="35">
        <f t="shared" si="55"/>
        <v>0</v>
      </c>
      <c r="Q44" s="36">
        <f t="shared" si="55"/>
        <v>0</v>
      </c>
      <c r="R44" s="35">
        <f t="shared" si="55"/>
        <v>0</v>
      </c>
      <c r="S44" s="35">
        <f t="shared" si="55"/>
        <v>0</v>
      </c>
      <c r="T44" s="35">
        <f t="shared" si="55"/>
        <v>0</v>
      </c>
      <c r="U44" s="35">
        <f t="shared" si="55"/>
        <v>0</v>
      </c>
      <c r="V44" s="35">
        <f t="shared" si="55"/>
        <v>0</v>
      </c>
      <c r="W44" s="35">
        <f t="shared" si="55"/>
        <v>0</v>
      </c>
      <c r="X44" s="35">
        <f t="shared" si="55"/>
        <v>0</v>
      </c>
      <c r="Y44" s="35">
        <f t="shared" si="55"/>
        <v>0</v>
      </c>
      <c r="Z44" s="35">
        <f t="shared" si="55"/>
        <v>0</v>
      </c>
      <c r="AA44" s="35">
        <f t="shared" si="55"/>
        <v>0</v>
      </c>
      <c r="AB44" s="35">
        <f t="shared" si="55"/>
        <v>0</v>
      </c>
      <c r="AC44" s="36">
        <f t="shared" si="55"/>
        <v>0</v>
      </c>
      <c r="AD44" s="35">
        <f t="shared" si="55"/>
        <v>0</v>
      </c>
      <c r="AE44" s="35">
        <f t="shared" si="55"/>
        <v>0</v>
      </c>
      <c r="AF44" s="35">
        <f t="shared" si="55"/>
        <v>0</v>
      </c>
      <c r="AG44" s="35">
        <f t="shared" si="55"/>
        <v>0</v>
      </c>
      <c r="AH44" s="35">
        <f t="shared" si="55"/>
        <v>0</v>
      </c>
      <c r="AI44" s="35">
        <f t="shared" si="55"/>
        <v>0</v>
      </c>
      <c r="AJ44" s="35">
        <f t="shared" si="55"/>
        <v>0</v>
      </c>
      <c r="AK44" s="35">
        <f t="shared" si="55"/>
        <v>0</v>
      </c>
      <c r="AL44" s="35">
        <f t="shared" si="55"/>
        <v>0</v>
      </c>
      <c r="AM44" s="35">
        <f t="shared" si="55"/>
        <v>0</v>
      </c>
      <c r="AN44" s="35">
        <f t="shared" si="55"/>
        <v>0</v>
      </c>
      <c r="AO44" s="36">
        <f t="shared" si="55"/>
        <v>0</v>
      </c>
      <c r="AP44" s="35">
        <f t="shared" si="55"/>
        <v>0</v>
      </c>
      <c r="AQ44" s="35">
        <f t="shared" si="55"/>
        <v>0</v>
      </c>
      <c r="AR44" s="35">
        <f t="shared" si="55"/>
        <v>0</v>
      </c>
      <c r="AS44" s="35">
        <f t="shared" si="55"/>
        <v>0</v>
      </c>
      <c r="AT44" s="35">
        <f t="shared" si="55"/>
        <v>0</v>
      </c>
      <c r="AU44" s="37">
        <f t="shared" si="55"/>
        <v>0</v>
      </c>
      <c r="AV44" s="35">
        <f t="shared" si="55"/>
        <v>0</v>
      </c>
      <c r="AW44" s="35">
        <f t="shared" si="55"/>
        <v>0</v>
      </c>
      <c r="AX44" s="35">
        <f t="shared" si="55"/>
        <v>0</v>
      </c>
      <c r="AY44" s="35">
        <f t="shared" si="55"/>
        <v>0</v>
      </c>
      <c r="AZ44" s="35">
        <f t="shared" si="55"/>
        <v>0</v>
      </c>
      <c r="BB44" s="23">
        <f t="shared" si="2"/>
        <v>0</v>
      </c>
      <c r="BC44" s="23">
        <f t="shared" si="3"/>
        <v>0</v>
      </c>
      <c r="BD44" s="23">
        <f t="shared" si="4"/>
        <v>0</v>
      </c>
      <c r="BE44" s="23">
        <f t="shared" si="5"/>
        <v>0</v>
      </c>
      <c r="BF44" s="23">
        <f t="shared" si="6"/>
        <v>0</v>
      </c>
      <c r="BG44" s="23">
        <f t="shared" si="7"/>
        <v>0</v>
      </c>
      <c r="BH44" s="23">
        <f t="shared" si="8"/>
        <v>0</v>
      </c>
      <c r="BI44" s="23">
        <f t="shared" si="9"/>
        <v>0</v>
      </c>
      <c r="BJ44" s="23">
        <f t="shared" si="10"/>
        <v>0</v>
      </c>
      <c r="BK44" s="23">
        <f t="shared" si="11"/>
        <v>0</v>
      </c>
      <c r="BL44" s="23">
        <f t="shared" si="12"/>
        <v>0</v>
      </c>
      <c r="BM44" s="24">
        <f t="shared" si="13"/>
        <v>0</v>
      </c>
      <c r="BN44" s="23">
        <f t="shared" si="14"/>
        <v>0</v>
      </c>
      <c r="BO44" s="23">
        <f t="shared" si="15"/>
        <v>0</v>
      </c>
      <c r="BP44" s="23">
        <f t="shared" si="16"/>
        <v>0</v>
      </c>
      <c r="BQ44" s="23">
        <f t="shared" si="17"/>
        <v>0</v>
      </c>
      <c r="BR44" s="23">
        <f t="shared" si="18"/>
        <v>0</v>
      </c>
      <c r="BS44" s="23">
        <f t="shared" si="19"/>
        <v>0</v>
      </c>
      <c r="BT44" s="23">
        <f t="shared" si="20"/>
        <v>0</v>
      </c>
      <c r="BU44" s="23">
        <f t="shared" si="21"/>
        <v>0</v>
      </c>
      <c r="BV44" s="23">
        <f t="shared" si="22"/>
        <v>0</v>
      </c>
      <c r="BW44" s="23">
        <f t="shared" si="23"/>
        <v>0</v>
      </c>
      <c r="BX44" s="23">
        <f t="shared" si="24"/>
        <v>0</v>
      </c>
      <c r="BY44" s="24">
        <f t="shared" si="25"/>
        <v>0</v>
      </c>
      <c r="BZ44" s="23">
        <f t="shared" si="26"/>
        <v>0</v>
      </c>
      <c r="CA44" s="23">
        <f t="shared" si="27"/>
        <v>0</v>
      </c>
      <c r="CB44" s="23">
        <f t="shared" si="28"/>
        <v>0</v>
      </c>
      <c r="CC44" s="23">
        <f t="shared" si="29"/>
        <v>0</v>
      </c>
      <c r="CD44" s="23">
        <f t="shared" si="30"/>
        <v>0</v>
      </c>
      <c r="CE44" s="23">
        <f t="shared" si="31"/>
        <v>0</v>
      </c>
      <c r="CF44" s="23">
        <f t="shared" si="32"/>
        <v>0</v>
      </c>
      <c r="CG44" s="23">
        <f t="shared" si="33"/>
        <v>0</v>
      </c>
      <c r="CH44" s="23">
        <f t="shared" si="34"/>
        <v>0</v>
      </c>
      <c r="CI44" s="23">
        <f t="shared" si="35"/>
        <v>0</v>
      </c>
      <c r="CJ44" s="23">
        <f t="shared" si="36"/>
        <v>0</v>
      </c>
      <c r="CK44" s="24">
        <f t="shared" si="37"/>
        <v>0</v>
      </c>
      <c r="CL44" s="42">
        <f t="shared" si="38"/>
        <v>0</v>
      </c>
      <c r="CM44" s="42">
        <f t="shared" si="39"/>
        <v>0</v>
      </c>
      <c r="CN44" s="42">
        <f t="shared" si="40"/>
        <v>0</v>
      </c>
      <c r="CO44" s="42">
        <f t="shared" si="41"/>
        <v>0</v>
      </c>
      <c r="CP44" s="42">
        <f t="shared" si="42"/>
        <v>0</v>
      </c>
      <c r="CQ44" s="90">
        <f t="shared" si="43"/>
        <v>0</v>
      </c>
      <c r="CR44" s="23">
        <f t="shared" si="44"/>
        <v>0</v>
      </c>
      <c r="CS44" s="23">
        <f t="shared" si="45"/>
        <v>0</v>
      </c>
      <c r="CT44" s="23">
        <f t="shared" si="46"/>
        <v>0</v>
      </c>
      <c r="CU44" s="23">
        <f t="shared" si="47"/>
        <v>0</v>
      </c>
      <c r="CV44" s="23">
        <f t="shared" si="48"/>
        <v>0</v>
      </c>
    </row>
    <row r="45" spans="1:100" ht="12" customHeight="1" thickBot="1">
      <c r="C45" s="53" t="s">
        <v>8</v>
      </c>
      <c r="D45" s="53"/>
      <c r="E45" s="53"/>
      <c r="F45" s="54">
        <f t="shared" ref="F45:AZ45" si="56">SUM(F44,F39,F34,F29,F24,F19,F14)</f>
        <v>40</v>
      </c>
      <c r="G45" s="54">
        <f t="shared" si="56"/>
        <v>40</v>
      </c>
      <c r="H45" s="54">
        <f t="shared" si="56"/>
        <v>40</v>
      </c>
      <c r="I45" s="54">
        <f t="shared" si="56"/>
        <v>40</v>
      </c>
      <c r="J45" s="54">
        <f t="shared" si="56"/>
        <v>40</v>
      </c>
      <c r="K45" s="54">
        <f t="shared" si="56"/>
        <v>40</v>
      </c>
      <c r="L45" s="54">
        <f t="shared" si="56"/>
        <v>40</v>
      </c>
      <c r="M45" s="54">
        <f t="shared" si="56"/>
        <v>40</v>
      </c>
      <c r="N45" s="54">
        <f t="shared" si="56"/>
        <v>40</v>
      </c>
      <c r="O45" s="54">
        <f t="shared" si="56"/>
        <v>40</v>
      </c>
      <c r="P45" s="54">
        <f t="shared" si="56"/>
        <v>40</v>
      </c>
      <c r="Q45" s="55">
        <f t="shared" si="56"/>
        <v>40</v>
      </c>
      <c r="R45" s="54">
        <f t="shared" si="56"/>
        <v>40</v>
      </c>
      <c r="S45" s="54">
        <f t="shared" si="56"/>
        <v>40</v>
      </c>
      <c r="T45" s="54">
        <f t="shared" si="56"/>
        <v>40</v>
      </c>
      <c r="U45" s="54">
        <f t="shared" si="56"/>
        <v>40</v>
      </c>
      <c r="V45" s="54">
        <f t="shared" si="56"/>
        <v>40</v>
      </c>
      <c r="W45" s="54">
        <f t="shared" si="56"/>
        <v>40</v>
      </c>
      <c r="X45" s="54">
        <f t="shared" si="56"/>
        <v>40</v>
      </c>
      <c r="Y45" s="54">
        <f t="shared" si="56"/>
        <v>40</v>
      </c>
      <c r="Z45" s="54">
        <f t="shared" si="56"/>
        <v>40</v>
      </c>
      <c r="AA45" s="54">
        <f t="shared" si="56"/>
        <v>40</v>
      </c>
      <c r="AB45" s="54">
        <f t="shared" si="56"/>
        <v>40</v>
      </c>
      <c r="AC45" s="55">
        <f t="shared" si="56"/>
        <v>40</v>
      </c>
      <c r="AD45" s="54">
        <f t="shared" si="56"/>
        <v>40</v>
      </c>
      <c r="AE45" s="54">
        <f t="shared" si="56"/>
        <v>40</v>
      </c>
      <c r="AF45" s="54">
        <f t="shared" si="56"/>
        <v>40</v>
      </c>
      <c r="AG45" s="54">
        <f t="shared" si="56"/>
        <v>40</v>
      </c>
      <c r="AH45" s="54">
        <f t="shared" si="56"/>
        <v>40</v>
      </c>
      <c r="AI45" s="54">
        <f t="shared" si="56"/>
        <v>40</v>
      </c>
      <c r="AJ45" s="54">
        <f t="shared" si="56"/>
        <v>40</v>
      </c>
      <c r="AK45" s="54">
        <f t="shared" si="56"/>
        <v>40</v>
      </c>
      <c r="AL45" s="54">
        <f t="shared" si="56"/>
        <v>40</v>
      </c>
      <c r="AM45" s="54">
        <f t="shared" si="56"/>
        <v>40</v>
      </c>
      <c r="AN45" s="54">
        <f t="shared" si="56"/>
        <v>40</v>
      </c>
      <c r="AO45" s="55">
        <f t="shared" si="56"/>
        <v>40</v>
      </c>
      <c r="AP45" s="54">
        <f t="shared" si="56"/>
        <v>40</v>
      </c>
      <c r="AQ45" s="54">
        <f t="shared" si="56"/>
        <v>40</v>
      </c>
      <c r="AR45" s="54">
        <f t="shared" si="56"/>
        <v>40</v>
      </c>
      <c r="AS45" s="54">
        <f t="shared" si="56"/>
        <v>40</v>
      </c>
      <c r="AT45" s="54">
        <f t="shared" si="56"/>
        <v>40</v>
      </c>
      <c r="AU45" s="59">
        <f t="shared" si="56"/>
        <v>40</v>
      </c>
      <c r="AV45" s="54">
        <f t="shared" si="56"/>
        <v>480</v>
      </c>
      <c r="AW45" s="54">
        <f t="shared" si="56"/>
        <v>480</v>
      </c>
      <c r="AX45" s="54">
        <f t="shared" si="56"/>
        <v>480</v>
      </c>
      <c r="AY45" s="54">
        <f t="shared" si="56"/>
        <v>480</v>
      </c>
      <c r="AZ45" s="54">
        <f t="shared" si="56"/>
        <v>480</v>
      </c>
      <c r="BB45" s="56">
        <f t="shared" si="2"/>
        <v>1</v>
      </c>
      <c r="BC45" s="56">
        <f t="shared" si="3"/>
        <v>1</v>
      </c>
      <c r="BD45" s="56">
        <f t="shared" si="4"/>
        <v>1</v>
      </c>
      <c r="BE45" s="56">
        <f t="shared" si="5"/>
        <v>1</v>
      </c>
      <c r="BF45" s="56">
        <f t="shared" si="6"/>
        <v>1</v>
      </c>
      <c r="BG45" s="56">
        <f t="shared" si="7"/>
        <v>1</v>
      </c>
      <c r="BH45" s="56">
        <f t="shared" si="8"/>
        <v>1</v>
      </c>
      <c r="BI45" s="56">
        <f t="shared" si="9"/>
        <v>1</v>
      </c>
      <c r="BJ45" s="56">
        <f t="shared" si="10"/>
        <v>1</v>
      </c>
      <c r="BK45" s="56">
        <f t="shared" si="11"/>
        <v>1</v>
      </c>
      <c r="BL45" s="56">
        <f t="shared" si="12"/>
        <v>1</v>
      </c>
      <c r="BM45" s="57">
        <f t="shared" si="13"/>
        <v>1</v>
      </c>
      <c r="BN45" s="56">
        <f t="shared" si="14"/>
        <v>1</v>
      </c>
      <c r="BO45" s="56">
        <f t="shared" si="15"/>
        <v>1</v>
      </c>
      <c r="BP45" s="56">
        <f t="shared" si="16"/>
        <v>1</v>
      </c>
      <c r="BQ45" s="56">
        <f t="shared" si="17"/>
        <v>1</v>
      </c>
      <c r="BR45" s="56">
        <f t="shared" si="18"/>
        <v>1</v>
      </c>
      <c r="BS45" s="56">
        <f t="shared" si="19"/>
        <v>1</v>
      </c>
      <c r="BT45" s="56">
        <f t="shared" si="20"/>
        <v>1</v>
      </c>
      <c r="BU45" s="56">
        <f t="shared" si="21"/>
        <v>1</v>
      </c>
      <c r="BV45" s="56">
        <f t="shared" si="22"/>
        <v>1</v>
      </c>
      <c r="BW45" s="56">
        <f t="shared" si="23"/>
        <v>1</v>
      </c>
      <c r="BX45" s="56">
        <f t="shared" si="24"/>
        <v>1</v>
      </c>
      <c r="BY45" s="57">
        <f t="shared" si="25"/>
        <v>1</v>
      </c>
      <c r="BZ45" s="56">
        <f t="shared" si="26"/>
        <v>1</v>
      </c>
      <c r="CA45" s="56">
        <f t="shared" si="27"/>
        <v>1</v>
      </c>
      <c r="CB45" s="56">
        <f t="shared" si="28"/>
        <v>1</v>
      </c>
      <c r="CC45" s="56">
        <f t="shared" si="29"/>
        <v>1</v>
      </c>
      <c r="CD45" s="56">
        <f t="shared" si="30"/>
        <v>1</v>
      </c>
      <c r="CE45" s="56">
        <f t="shared" si="31"/>
        <v>1</v>
      </c>
      <c r="CF45" s="56">
        <f t="shared" si="32"/>
        <v>1</v>
      </c>
      <c r="CG45" s="56">
        <f t="shared" si="33"/>
        <v>1</v>
      </c>
      <c r="CH45" s="56">
        <f t="shared" si="34"/>
        <v>1</v>
      </c>
      <c r="CI45" s="56">
        <f t="shared" si="35"/>
        <v>1</v>
      </c>
      <c r="CJ45" s="56">
        <f t="shared" si="36"/>
        <v>1</v>
      </c>
      <c r="CK45" s="57">
        <f t="shared" si="37"/>
        <v>1</v>
      </c>
      <c r="CL45" s="56">
        <f t="shared" si="38"/>
        <v>1</v>
      </c>
      <c r="CM45" s="56">
        <f t="shared" si="39"/>
        <v>1</v>
      </c>
      <c r="CN45" s="56">
        <f t="shared" si="40"/>
        <v>1</v>
      </c>
      <c r="CO45" s="56">
        <f t="shared" si="41"/>
        <v>1</v>
      </c>
      <c r="CP45" s="56">
        <f t="shared" si="42"/>
        <v>1</v>
      </c>
      <c r="CQ45" s="58">
        <f t="shared" si="43"/>
        <v>1</v>
      </c>
      <c r="CR45" s="56">
        <f t="shared" si="44"/>
        <v>1</v>
      </c>
      <c r="CS45" s="56">
        <f t="shared" si="45"/>
        <v>1</v>
      </c>
      <c r="CT45" s="56">
        <f t="shared" si="46"/>
        <v>1</v>
      </c>
      <c r="CU45" s="56">
        <f t="shared" si="47"/>
        <v>1</v>
      </c>
      <c r="CV45" s="56">
        <f t="shared" si="48"/>
        <v>1</v>
      </c>
    </row>
    <row r="46" spans="1:100" ht="12" customHeight="1">
      <c r="A46" s="27"/>
    </row>
    <row r="47" spans="1:100" ht="12" customHeight="1"/>
    <row r="48" spans="1:100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AEEF-9963-440C-B173-8134116363BF}">
  <sheetPr codeName="Sheet117"/>
  <dimension ref="A1:B1"/>
  <sheetViews>
    <sheetView workbookViewId="0">
      <selection activeCell="BA1002" sqref="BA1002:CU1002"/>
    </sheetView>
  </sheetViews>
  <sheetFormatPr baseColWidth="10" defaultColWidth="8.83203125" defaultRowHeight="15"/>
  <cols>
    <col min="53" max="94" width="6.83203125" customWidth="1"/>
    <col min="95" max="99" width="6.83203125" bestFit="1" customWidth="1"/>
  </cols>
  <sheetData>
    <row r="1" spans="1:2">
      <c r="A1">
        <v>1002</v>
      </c>
      <c r="B1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1702-39EE-477B-AB4F-96A317EBBA2F}">
  <sheetPr codeName="Sheet118"/>
  <dimension ref="A1:B1"/>
  <sheetViews>
    <sheetView workbookViewId="0">
      <selection activeCell="E32" sqref="E32"/>
    </sheetView>
  </sheetViews>
  <sheetFormatPr baseColWidth="10" defaultColWidth="8.83203125" defaultRowHeight="15"/>
  <cols>
    <col min="5" max="5" width="8.5" customWidth="1"/>
    <col min="54" max="54" width="10.5" bestFit="1" customWidth="1"/>
  </cols>
  <sheetData>
    <row r="1" spans="1:2">
      <c r="A1">
        <v>32</v>
      </c>
      <c r="B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CE39-9472-4147-A126-15BC61C17938}">
  <sheetPr codeName="Sheet119"/>
  <dimension ref="A1:Q109"/>
  <sheetViews>
    <sheetView workbookViewId="0"/>
  </sheetViews>
  <sheetFormatPr baseColWidth="10" defaultColWidth="8.83203125" defaultRowHeight="15"/>
  <sheetData>
    <row r="1" spans="1:17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</row>
    <row r="2" spans="1:17">
      <c r="A2" s="45">
        <v>1</v>
      </c>
      <c r="B2" s="46" t="e">
        <f>#REF!</f>
        <v>#REF!</v>
      </c>
      <c r="C2" s="46"/>
      <c r="D2" s="65" t="e">
        <f>$B$2</f>
        <v>#REF!</v>
      </c>
      <c r="E2" s="65"/>
      <c r="F2" s="65"/>
      <c r="G2" s="65"/>
      <c r="H2" s="65"/>
      <c r="I2" s="65"/>
      <c r="J2" s="65"/>
      <c r="K2" s="65"/>
      <c r="L2" s="65" t="e">
        <f>IF(MAX($C$2:$C$14,$B$14)-MIN($C$2:$C$14,$B$14)=0,0,ROUNDDOWN(IF(MIN($C$2:$C$14,$B$14)&gt;0,MAX(0,MIN($C$2:$C$14,$B$14)-ABS(MAX($C$2:$C$14,$B$14)-MIN($C$2:$C$14,$B$14))/5),IF(MAX($C$2:$C$14,$B$14)&gt;0,0,MIN(0,MAX($C$2:$C$14,$B$14)+ABS(MAX($C$2:$C$14,$B$14)-MIN($C$2:$C$14,$B$14))/5)))/10^(INT(LOG10(MAX($C$2:$C$14,$B$14)-MIN($C$2:$C$14,$B$14)))),0)*10^(INT(LOG10(MAX($C$2:$C$14,$B$14)-MIN($C$2:$C$14,$B$14)))))</f>
        <v>#REF!</v>
      </c>
      <c r="M2" s="65">
        <v>7</v>
      </c>
      <c r="N2" s="65">
        <v>110</v>
      </c>
      <c r="O2" s="46"/>
      <c r="P2" s="46"/>
      <c r="Q2" s="46"/>
    </row>
    <row r="3" spans="1:17">
      <c r="B3" s="46" t="e">
        <f>#REF!</f>
        <v>#REF!</v>
      </c>
      <c r="C3" s="46" t="e">
        <f>$B$2</f>
        <v>#REF!</v>
      </c>
      <c r="D3" s="65"/>
      <c r="E3" s="65" t="e">
        <f>IF(NOT(($D$3)=""), ,IF(-1=SIGN($C$3)*SIGN($C$4),,$C$3+$B$3*(-1=SIGN($C$3)*SIGN($B$3))))</f>
        <v>#REF!</v>
      </c>
      <c r="F3" s="65" t="e">
        <f>IF(NOT(($D$3)=""), ,IF(AND($B$3&gt;=0,$C$4&gt;0),$B$3*($C$3&gt;=0)+$C$4*($C$3&lt;0),))</f>
        <v>#REF!</v>
      </c>
      <c r="G3" s="65" t="e">
        <f>IF(NOT(($D$3)=""),,IF(AND($B$3&gt;=0,$C$3&lt;0),-$B$3*($C$4&lt;=0)+$C$3*($C$4&gt;0),))</f>
        <v>#REF!</v>
      </c>
      <c r="H3" s="65" t="e">
        <f>IF(NOT(($D$3)=""), ,IF(AND($B$3&lt;=0,$C$3&gt;0),-$B$3*($C$4&gt;=0)+$C$3*($C$4&lt;0), ))</f>
        <v>#REF!</v>
      </c>
      <c r="I3" s="65" t="e">
        <f>IF(NOT(($D$3)=""), ,IF(AND($B$3&lt;=0,$C$4&lt;0),$B$3*($C$3&lt;=0)+$C$4*($C$3&gt;0), ))</f>
        <v>#REF!</v>
      </c>
      <c r="J3" s="65" t="e">
        <f>$E$3+($F$3+$G$3+$H$3+$I$3)/2</f>
        <v>#REF!</v>
      </c>
      <c r="K3" s="65" t="e">
        <f>$F$3-$G$3-$H$3+$I$3</f>
        <v>#REF!</v>
      </c>
      <c r="L3" s="65"/>
      <c r="M3" s="65"/>
      <c r="N3" s="65"/>
      <c r="O3" s="46" t="e">
        <f>IF(NOT(($D$3)=""),"",$C$3+$B$3)</f>
        <v>#REF!</v>
      </c>
      <c r="P3" s="46" t="e">
        <f>IF(NOT(($D$3)=""),"",IF($B$3 &lt; 0,"",$B$3))</f>
        <v>#REF!</v>
      </c>
      <c r="Q3" s="46" t="e">
        <f>IF(NOT(($D$3)=""),"",IF($B$3&gt;=0,"",$B$3))</f>
        <v>#REF!</v>
      </c>
    </row>
    <row r="4" spans="1:17">
      <c r="B4" s="46" t="e">
        <f>#REF!</f>
        <v>#REF!</v>
      </c>
      <c r="C4" s="46" t="e">
        <f>IF(($D$3)="",$C$3+$B$3,$B$3)</f>
        <v>#REF!</v>
      </c>
      <c r="D4" s="65"/>
      <c r="E4" s="65" t="e">
        <f>IF(NOT(($D$4)=""), ,IF(-1=SIGN($C$4)*SIGN($C$5),,$C$4+$B$4*(-1=SIGN($C$4)*SIGN($B$4))))</f>
        <v>#REF!</v>
      </c>
      <c r="F4" s="65" t="e">
        <f>IF(NOT(($D$4)=""), ,IF(AND($B$4&gt;=0,$C$5&gt;0),$B$4*($C$4&gt;=0)+$C$5*($C$4&lt;0),))</f>
        <v>#REF!</v>
      </c>
      <c r="G4" s="65" t="e">
        <f>IF(NOT(($D$4)=""),,IF(AND($B$4&gt;=0,$C$4&lt;0),-$B$4*($C$5&lt;=0)+$C$4*($C$5&gt;0),))</f>
        <v>#REF!</v>
      </c>
      <c r="H4" s="65" t="e">
        <f>IF(NOT(($D$4)=""), ,IF(AND($B$4&lt;=0,$C$4&gt;0),-$B$4*($C$5&gt;=0)+$C$4*($C$5&lt;0), ))</f>
        <v>#REF!</v>
      </c>
      <c r="I4" s="65" t="e">
        <f>IF(NOT(($D$4)=""), ,IF(AND($B$4&lt;=0,$C$5&lt;0),$B$4*($C$4&lt;=0)+$C$5*($C$4&gt;0), ))</f>
        <v>#REF!</v>
      </c>
      <c r="J4" s="65" t="e">
        <f>$E$4+($F$4+$G$4+$H$4+$I$4)/2</f>
        <v>#REF!</v>
      </c>
      <c r="K4" s="65" t="e">
        <f>$F$4-$G$4-$H$4+$I$4</f>
        <v>#REF!</v>
      </c>
      <c r="L4" s="65"/>
      <c r="M4" s="65"/>
      <c r="N4" s="65"/>
      <c r="O4" s="46" t="e">
        <f>IF(NOT(($D$4)=""),"",$C$4+$B$4)</f>
        <v>#REF!</v>
      </c>
      <c r="P4" s="46" t="e">
        <f>IF(NOT(($D$4)=""),"",IF($B$4 &lt; 0,"",$B$4))</f>
        <v>#REF!</v>
      </c>
      <c r="Q4" s="46" t="e">
        <f>IF(NOT(($D$4)=""),"",IF($B$4&gt;=0,"",$B$4))</f>
        <v>#REF!</v>
      </c>
    </row>
    <row r="5" spans="1:17">
      <c r="B5" s="46" t="e">
        <f>#REF!</f>
        <v>#REF!</v>
      </c>
      <c r="C5" s="46" t="e">
        <f>IF(($D$4)="",$C$4+$B$4,$B$4)</f>
        <v>#REF!</v>
      </c>
      <c r="D5" s="65"/>
      <c r="E5" s="65" t="e">
        <f>IF(NOT(($D$5)=""), ,IF(-1=SIGN($C$5)*SIGN($C$6),,$C$5+$B$5*(-1=SIGN($C$5)*SIGN($B$5))))</f>
        <v>#REF!</v>
      </c>
      <c r="F5" s="65" t="e">
        <f>IF(NOT(($D$5)=""), ,IF(AND($B$5&gt;=0,$C$6&gt;0),$B$5*($C$5&gt;=0)+$C$6*($C$5&lt;0),))</f>
        <v>#REF!</v>
      </c>
      <c r="G5" s="65" t="e">
        <f>IF(NOT(($D$5)=""),,IF(AND($B$5&gt;=0,$C$5&lt;0),-$B$5*($C$6&lt;=0)+$C$5*($C$6&gt;0),))</f>
        <v>#REF!</v>
      </c>
      <c r="H5" s="65" t="e">
        <f>IF(NOT(($D$5)=""), ,IF(AND($B$5&lt;=0,$C$5&gt;0),-$B$5*($C$6&gt;=0)+$C$5*($C$6&lt;0), ))</f>
        <v>#REF!</v>
      </c>
      <c r="I5" s="65" t="e">
        <f>IF(NOT(($D$5)=""), ,IF(AND($B$5&lt;=0,$C$6&lt;0),$B$5*($C$5&lt;=0)+$C$6*($C$5&gt;0), ))</f>
        <v>#REF!</v>
      </c>
      <c r="J5" s="65" t="e">
        <f>$E$5+($F$5+$G$5+$H$5+$I$5)/2</f>
        <v>#REF!</v>
      </c>
      <c r="K5" s="65" t="e">
        <f>$F$5-$G$5-$H$5+$I$5</f>
        <v>#REF!</v>
      </c>
      <c r="L5" s="65"/>
      <c r="M5" s="65"/>
      <c r="N5" s="65"/>
      <c r="O5" s="46" t="e">
        <f>IF(NOT(($D$5)=""),"",$C$5+$B$5)</f>
        <v>#REF!</v>
      </c>
      <c r="P5" s="46" t="e">
        <f>IF(NOT(($D$5)=""),"",IF($B$5 &lt; 0,"",$B$5))</f>
        <v>#REF!</v>
      </c>
      <c r="Q5" s="46" t="e">
        <f>IF(NOT(($D$5)=""),"",IF($B$5&gt;=0,"",$B$5))</f>
        <v>#REF!</v>
      </c>
    </row>
    <row r="6" spans="1:17">
      <c r="B6" s="46" t="e">
        <f>#REF!</f>
        <v>#REF!</v>
      </c>
      <c r="C6" s="46" t="e">
        <f>IF(($D$5)="",$C$5+$B$5,$B$5)</f>
        <v>#REF!</v>
      </c>
      <c r="D6" s="65"/>
      <c r="E6" s="65" t="e">
        <f>IF(NOT(($D$6)=""), ,IF(-1=SIGN($C$6)*SIGN($C$7),,$C$6+$B$6*(-1=SIGN($C$6)*SIGN($B$6))))</f>
        <v>#REF!</v>
      </c>
      <c r="F6" s="65" t="e">
        <f>IF(NOT(($D$6)=""), ,IF(AND($B$6&gt;=0,$C$7&gt;0),$B$6*($C$6&gt;=0)+$C$7*($C$6&lt;0),))</f>
        <v>#REF!</v>
      </c>
      <c r="G6" s="65" t="e">
        <f>IF(NOT(($D$6)=""),,IF(AND($B$6&gt;=0,$C$6&lt;0),-$B$6*($C$7&lt;=0)+$C$6*($C$7&gt;0),))</f>
        <v>#REF!</v>
      </c>
      <c r="H6" s="65" t="e">
        <f>IF(NOT(($D$6)=""), ,IF(AND($B$6&lt;=0,$C$6&gt;0),-$B$6*($C$7&gt;=0)+$C$6*($C$7&lt;0), ))</f>
        <v>#REF!</v>
      </c>
      <c r="I6" s="65" t="e">
        <f>IF(NOT(($D$6)=""), ,IF(AND($B$6&lt;=0,$C$7&lt;0),$B$6*($C$6&lt;=0)+$C$7*($C$6&gt;0), ))</f>
        <v>#REF!</v>
      </c>
      <c r="J6" s="65" t="e">
        <f>$E$6+($F$6+$G$6+$H$6+$I$6)/2</f>
        <v>#REF!</v>
      </c>
      <c r="K6" s="65" t="e">
        <f>$F$6-$G$6-$H$6+$I$6</f>
        <v>#REF!</v>
      </c>
      <c r="L6" s="65"/>
      <c r="M6" s="65"/>
      <c r="N6" s="65"/>
      <c r="O6" s="46" t="e">
        <f>IF(NOT(($D$6)=""),"",$C$6+$B$6)</f>
        <v>#REF!</v>
      </c>
      <c r="P6" s="46" t="e">
        <f>IF(NOT(($D$6)=""),"",IF($B$6 &lt; 0,"",$B$6))</f>
        <v>#REF!</v>
      </c>
      <c r="Q6" s="46" t="e">
        <f>IF(NOT(($D$6)=""),"",IF($B$6&gt;=0,"",$B$6))</f>
        <v>#REF!</v>
      </c>
    </row>
    <row r="7" spans="1:17">
      <c r="B7" s="46" t="e">
        <f>#REF!</f>
        <v>#REF!</v>
      </c>
      <c r="C7" s="46" t="e">
        <f>IF(($D$6)="",$C$6+$B$6,$B$6)</f>
        <v>#REF!</v>
      </c>
      <c r="D7" s="65"/>
      <c r="E7" s="65" t="e">
        <f>IF(NOT(($D$7)=""), ,IF(-1=SIGN($C$7)*SIGN($C$8),,$C$7+$B$7*(-1=SIGN($C$7)*SIGN($B$7))))</f>
        <v>#REF!</v>
      </c>
      <c r="F7" s="65" t="e">
        <f>IF(NOT(($D$7)=""), ,IF(AND($B$7&gt;=0,$C$8&gt;0),$B$7*($C$7&gt;=0)+$C$8*($C$7&lt;0),))</f>
        <v>#REF!</v>
      </c>
      <c r="G7" s="65" t="e">
        <f>IF(NOT(($D$7)=""),,IF(AND($B$7&gt;=0,$C$7&lt;0),-$B$7*($C$8&lt;=0)+$C$7*($C$8&gt;0),))</f>
        <v>#REF!</v>
      </c>
      <c r="H7" s="65" t="e">
        <f>IF(NOT(($D$7)=""), ,IF(AND($B$7&lt;=0,$C$7&gt;0),-$B$7*($C$8&gt;=0)+$C$7*($C$8&lt;0), ))</f>
        <v>#REF!</v>
      </c>
      <c r="I7" s="65" t="e">
        <f>IF(NOT(($D$7)=""), ,IF(AND($B$7&lt;=0,$C$8&lt;0),$B$7*($C$7&lt;=0)+$C$8*($C$7&gt;0), ))</f>
        <v>#REF!</v>
      </c>
      <c r="J7" s="65" t="e">
        <f>$E$7+($F$7+$G$7+$H$7+$I$7)/2</f>
        <v>#REF!</v>
      </c>
      <c r="K7" s="65" t="e">
        <f>$F$7-$G$7-$H$7+$I$7</f>
        <v>#REF!</v>
      </c>
      <c r="L7" s="65"/>
      <c r="M7" s="65"/>
      <c r="N7" s="65"/>
      <c r="O7" s="46" t="e">
        <f>IF(NOT(($D$7)=""),"",$C$7+$B$7)</f>
        <v>#REF!</v>
      </c>
      <c r="P7" s="46" t="e">
        <f>IF(NOT(($D$7)=""),"",IF($B$7 &lt; 0,"",$B$7))</f>
        <v>#REF!</v>
      </c>
      <c r="Q7" s="46" t="e">
        <f>IF(NOT(($D$7)=""),"",IF($B$7&gt;=0,"",$B$7))</f>
        <v>#REF!</v>
      </c>
    </row>
    <row r="8" spans="1:17">
      <c r="B8" s="46" t="e">
        <f>#REF!</f>
        <v>#REF!</v>
      </c>
      <c r="C8" s="46" t="e">
        <f>IF(($D$7)="",$C$7+$B$7,$B$7)</f>
        <v>#REF!</v>
      </c>
      <c r="D8" s="65"/>
      <c r="E8" s="65" t="e">
        <f>IF(NOT(($D$8)=""), ,IF(-1=SIGN($C$8)*SIGN($C$9),,$C$8+$B$8*(-1=SIGN($C$8)*SIGN($B$8))))</f>
        <v>#REF!</v>
      </c>
      <c r="F8" s="65" t="e">
        <f>IF(NOT(($D$8)=""), ,IF(AND($B$8&gt;=0,$C$9&gt;0),$B$8*($C$8&gt;=0)+$C$9*($C$8&lt;0),))</f>
        <v>#REF!</v>
      </c>
      <c r="G8" s="65" t="e">
        <f>IF(NOT(($D$8)=""),,IF(AND($B$8&gt;=0,$C$8&lt;0),-$B$8*($C$9&lt;=0)+$C$8*($C$9&gt;0),))</f>
        <v>#REF!</v>
      </c>
      <c r="H8" s="65" t="e">
        <f>IF(NOT(($D$8)=""), ,IF(AND($B$8&lt;=0,$C$8&gt;0),-$B$8*($C$9&gt;=0)+$C$8*($C$9&lt;0), ))</f>
        <v>#REF!</v>
      </c>
      <c r="I8" s="65" t="e">
        <f>IF(NOT(($D$8)=""), ,IF(AND($B$8&lt;=0,$C$9&lt;0),$B$8*($C$8&lt;=0)+$C$9*($C$8&gt;0), ))</f>
        <v>#REF!</v>
      </c>
      <c r="J8" s="65" t="e">
        <f>$E$8+($F$8+$G$8+$H$8+$I$8)/2</f>
        <v>#REF!</v>
      </c>
      <c r="K8" s="65" t="e">
        <f>$F$8-$G$8-$H$8+$I$8</f>
        <v>#REF!</v>
      </c>
      <c r="L8" s="65"/>
      <c r="M8" s="65"/>
      <c r="N8" s="65"/>
      <c r="O8" s="46" t="e">
        <f>IF(NOT(($D$8)=""),"",$C$8+$B$8)</f>
        <v>#REF!</v>
      </c>
      <c r="P8" s="46" t="e">
        <f>IF(NOT(($D$8)=""),"",IF($B$8 &lt; 0,"",$B$8))</f>
        <v>#REF!</v>
      </c>
      <c r="Q8" s="46" t="e">
        <f>IF(NOT(($D$8)=""),"",IF($B$8&gt;=0,"",$B$8))</f>
        <v>#REF!</v>
      </c>
    </row>
    <row r="9" spans="1:17">
      <c r="B9" s="46" t="e">
        <f>#REF!</f>
        <v>#REF!</v>
      </c>
      <c r="C9" s="46" t="e">
        <f>IF(($D$8)="",$C$8+$B$8,$B$8)</f>
        <v>#REF!</v>
      </c>
      <c r="D9" s="65"/>
      <c r="E9" s="65" t="e">
        <f>IF(NOT(($D$9)=""), ,IF(-1=SIGN($C$9)*SIGN($C$10),,$C$9+$B$9*(-1=SIGN($C$9)*SIGN($B$9))))</f>
        <v>#REF!</v>
      </c>
      <c r="F9" s="65" t="e">
        <f>IF(NOT(($D$9)=""), ,IF(AND($B$9&gt;=0,$C$10&gt;0),$B$9*($C$9&gt;=0)+$C$10*($C$9&lt;0),))</f>
        <v>#REF!</v>
      </c>
      <c r="G9" s="65" t="e">
        <f>IF(NOT(($D$9)=""),,IF(AND($B$9&gt;=0,$C$9&lt;0),-$B$9*($C$10&lt;=0)+$C$9*($C$10&gt;0),))</f>
        <v>#REF!</v>
      </c>
      <c r="H9" s="65" t="e">
        <f>IF(NOT(($D$9)=""), ,IF(AND($B$9&lt;=0,$C$9&gt;0),-$B$9*($C$10&gt;=0)+$C$9*($C$10&lt;0), ))</f>
        <v>#REF!</v>
      </c>
      <c r="I9" s="65" t="e">
        <f>IF(NOT(($D$9)=""), ,IF(AND($B$9&lt;=0,$C$10&lt;0),$B$9*($C$9&lt;=0)+$C$10*($C$9&gt;0), ))</f>
        <v>#REF!</v>
      </c>
      <c r="J9" s="65" t="e">
        <f>$E$9+($F$9+$G$9+$H$9+$I$9)/2</f>
        <v>#REF!</v>
      </c>
      <c r="K9" s="65" t="e">
        <f>$F$9-$G$9-$H$9+$I$9</f>
        <v>#REF!</v>
      </c>
      <c r="L9" s="65"/>
      <c r="M9" s="65"/>
      <c r="N9" s="65"/>
      <c r="O9" s="46" t="e">
        <f>IF(NOT(($D$9)=""),"",$C$9+$B$9)</f>
        <v>#REF!</v>
      </c>
      <c r="P9" s="46" t="e">
        <f>IF(NOT(($D$9)=""),"",IF($B$9 &lt; 0,"",$B$9))</f>
        <v>#REF!</v>
      </c>
      <c r="Q9" s="46" t="e">
        <f>IF(NOT(($D$9)=""),"",IF($B$9&gt;=0,"",$B$9))</f>
        <v>#REF!</v>
      </c>
    </row>
    <row r="10" spans="1:17">
      <c r="B10" s="46" t="e">
        <f>#REF!</f>
        <v>#REF!</v>
      </c>
      <c r="C10" s="46" t="e">
        <f>IF(($D$9)="",$C$9+$B$9,$B$9)</f>
        <v>#REF!</v>
      </c>
      <c r="D10" s="65"/>
      <c r="E10" s="65" t="e">
        <f>IF(NOT(($D$10)=""), ,IF(-1=SIGN($C$10)*SIGN($C$11),,$C$10+$B$10*(-1=SIGN($C$10)*SIGN($B$10))))</f>
        <v>#REF!</v>
      </c>
      <c r="F10" s="65" t="e">
        <f>IF(NOT(($D$10)=""), ,IF(AND($B$10&gt;=0,$C$11&gt;0),$B$10*($C$10&gt;=0)+$C$11*($C$10&lt;0),))</f>
        <v>#REF!</v>
      </c>
      <c r="G10" s="65" t="e">
        <f>IF(NOT(($D$10)=""),,IF(AND($B$10&gt;=0,$C$10&lt;0),-$B$10*($C$11&lt;=0)+$C$10*($C$11&gt;0),))</f>
        <v>#REF!</v>
      </c>
      <c r="H10" s="65" t="e">
        <f>IF(NOT(($D$10)=""), ,IF(AND($B$10&lt;=0,$C$10&gt;0),-$B$10*($C$11&gt;=0)+$C$10*($C$11&lt;0), ))</f>
        <v>#REF!</v>
      </c>
      <c r="I10" s="65" t="e">
        <f>IF(NOT(($D$10)=""), ,IF(AND($B$10&lt;=0,$C$11&lt;0),$B$10*($C$10&lt;=0)+$C$11*($C$10&gt;0), ))</f>
        <v>#REF!</v>
      </c>
      <c r="J10" s="65" t="e">
        <f>$E$10+($F$10+$G$10+$H$10+$I$10)/2</f>
        <v>#REF!</v>
      </c>
      <c r="K10" s="65" t="e">
        <f>$F$10-$G$10-$H$10+$I$10</f>
        <v>#REF!</v>
      </c>
      <c r="L10" s="65"/>
      <c r="M10" s="65"/>
      <c r="N10" s="65"/>
      <c r="O10" s="46" t="e">
        <f>IF(NOT(($D$10)=""),"",$C$10+$B$10)</f>
        <v>#REF!</v>
      </c>
      <c r="P10" s="46" t="e">
        <f>IF(NOT(($D$10)=""),"",IF($B$10 &lt; 0,"",$B$10))</f>
        <v>#REF!</v>
      </c>
      <c r="Q10" s="46" t="e">
        <f>IF(NOT(($D$10)=""),"",IF($B$10&gt;=0,"",$B$10))</f>
        <v>#REF!</v>
      </c>
    </row>
    <row r="11" spans="1:17">
      <c r="B11" s="46" t="e">
        <f>#REF!</f>
        <v>#REF!</v>
      </c>
      <c r="C11" s="46" t="e">
        <f>IF(($D$10)="",$C$10+$B$10,$B$10)</f>
        <v>#REF!</v>
      </c>
      <c r="D11" s="65"/>
      <c r="E11" s="65" t="e">
        <f>IF(NOT(($D$11)=""), ,IF(-1=SIGN($C$11)*SIGN($C$12),,$C$11+$B$11*(-1=SIGN($C$11)*SIGN($B$11))))</f>
        <v>#REF!</v>
      </c>
      <c r="F11" s="65" t="e">
        <f>IF(NOT(($D$11)=""), ,IF(AND($B$11&gt;=0,$C$12&gt;0),$B$11*($C$11&gt;=0)+$C$12*($C$11&lt;0),))</f>
        <v>#REF!</v>
      </c>
      <c r="G11" s="65" t="e">
        <f>IF(NOT(($D$11)=""),,IF(AND($B$11&gt;=0,$C$11&lt;0),-$B$11*($C$12&lt;=0)+$C$11*($C$12&gt;0),))</f>
        <v>#REF!</v>
      </c>
      <c r="H11" s="65" t="e">
        <f>IF(NOT(($D$11)=""), ,IF(AND($B$11&lt;=0,$C$11&gt;0),-$B$11*($C$12&gt;=0)+$C$11*($C$12&lt;0), ))</f>
        <v>#REF!</v>
      </c>
      <c r="I11" s="65" t="e">
        <f>IF(NOT(($D$11)=""), ,IF(AND($B$11&lt;=0,$C$12&lt;0),$B$11*($C$11&lt;=0)+$C$12*($C$11&gt;0), ))</f>
        <v>#REF!</v>
      </c>
      <c r="J11" s="65" t="e">
        <f>$E$11+($F$11+$G$11+$H$11+$I$11)/2</f>
        <v>#REF!</v>
      </c>
      <c r="K11" s="65" t="e">
        <f>$F$11-$G$11-$H$11+$I$11</f>
        <v>#REF!</v>
      </c>
      <c r="L11" s="65"/>
      <c r="M11" s="65"/>
      <c r="N11" s="65"/>
      <c r="O11" s="46" t="e">
        <f>IF(NOT(($D$11)=""),"",$C$11+$B$11)</f>
        <v>#REF!</v>
      </c>
      <c r="P11" s="46" t="e">
        <f>IF(NOT(($D$11)=""),"",IF($B$11 &lt; 0,"",$B$11))</f>
        <v>#REF!</v>
      </c>
      <c r="Q11" s="46" t="e">
        <f>IF(NOT(($D$11)=""),"",IF($B$11&gt;=0,"",$B$11))</f>
        <v>#REF!</v>
      </c>
    </row>
    <row r="12" spans="1:17">
      <c r="B12" s="46" t="e">
        <f>#REF!</f>
        <v>#REF!</v>
      </c>
      <c r="C12" s="46" t="e">
        <f>IF(($D$11)="",$C$11+$B$11,$B$11)</f>
        <v>#REF!</v>
      </c>
      <c r="D12" s="65"/>
      <c r="E12" s="65" t="e">
        <f>IF(NOT(($D$12)=""), ,IF(-1=SIGN($C$12)*SIGN($C$13),,$C$12+$B$12*(-1=SIGN($C$12)*SIGN($B$12))))</f>
        <v>#REF!</v>
      </c>
      <c r="F12" s="65" t="e">
        <f>IF(NOT(($D$12)=""), ,IF(AND($B$12&gt;=0,$C$13&gt;0),$B$12*($C$12&gt;=0)+$C$13*($C$12&lt;0),))</f>
        <v>#REF!</v>
      </c>
      <c r="G12" s="65" t="e">
        <f>IF(NOT(($D$12)=""),,IF(AND($B$12&gt;=0,$C$12&lt;0),-$B$12*($C$13&lt;=0)+$C$12*($C$13&gt;0),))</f>
        <v>#REF!</v>
      </c>
      <c r="H12" s="65" t="e">
        <f>IF(NOT(($D$12)=""), ,IF(AND($B$12&lt;=0,$C$12&gt;0),-$B$12*($C$13&gt;=0)+$C$12*($C$13&lt;0), ))</f>
        <v>#REF!</v>
      </c>
      <c r="I12" s="65" t="e">
        <f>IF(NOT(($D$12)=""), ,IF(AND($B$12&lt;=0,$C$13&lt;0),$B$12*($C$12&lt;=0)+$C$13*($C$12&gt;0), ))</f>
        <v>#REF!</v>
      </c>
      <c r="J12" s="65" t="e">
        <f>$E$12+($F$12+$G$12+$H$12+$I$12)/2</f>
        <v>#REF!</v>
      </c>
      <c r="K12" s="65" t="e">
        <f>$F$12-$G$12-$H$12+$I$12</f>
        <v>#REF!</v>
      </c>
      <c r="L12" s="65"/>
      <c r="M12" s="65"/>
      <c r="N12" s="65"/>
      <c r="O12" s="46" t="e">
        <f>IF(NOT(($D$12)=""),"",$C$12+$B$12)</f>
        <v>#REF!</v>
      </c>
      <c r="P12" s="46" t="e">
        <f>IF(NOT(($D$12)=""),"",IF($B$12 &lt; 0,"",$B$12))</f>
        <v>#REF!</v>
      </c>
      <c r="Q12" s="46" t="e">
        <f>IF(NOT(($D$12)=""),"",IF($B$12&gt;=0,"",$B$12))</f>
        <v>#REF!</v>
      </c>
    </row>
    <row r="13" spans="1:17">
      <c r="B13" s="46" t="e">
        <f>#REF!</f>
        <v>#REF!</v>
      </c>
      <c r="C13" s="46" t="e">
        <f>IF(($D$12)="",$C$12+$B$12,$B$12)</f>
        <v>#REF!</v>
      </c>
      <c r="D13" s="65"/>
      <c r="E13" s="65" t="e">
        <f>IF(NOT(($D$13)=""), ,IF(-1=SIGN($C$13)*SIGN($C$14),,$C$13+$B$13*(-1=SIGN($C$13)*SIGN($B$13))))</f>
        <v>#REF!</v>
      </c>
      <c r="F13" s="65" t="e">
        <f>IF(NOT(($D$13)=""), ,IF(AND($B$13&gt;=0,$C$14&gt;0),$B$13*($C$13&gt;=0)+$C$14*($C$13&lt;0),))</f>
        <v>#REF!</v>
      </c>
      <c r="G13" s="65" t="e">
        <f>IF(NOT(($D$13)=""),,IF(AND($B$13&gt;=0,$C$13&lt;0),-$B$13*($C$14&lt;=0)+$C$13*($C$14&gt;0),))</f>
        <v>#REF!</v>
      </c>
      <c r="H13" s="65" t="e">
        <f>IF(NOT(($D$13)=""), ,IF(AND($B$13&lt;=0,$C$13&gt;0),-$B$13*($C$14&gt;=0)+$C$13*($C$14&lt;0), ))</f>
        <v>#REF!</v>
      </c>
      <c r="I13" s="65" t="e">
        <f>IF(NOT(($D$13)=""), ,IF(AND($B$13&lt;=0,$C$14&lt;0),$B$13*($C$13&lt;=0)+$C$14*($C$13&gt;0), ))</f>
        <v>#REF!</v>
      </c>
      <c r="J13" s="65" t="e">
        <f>$E$13+($F$13+$G$13+$H$13+$I$13)/2</f>
        <v>#REF!</v>
      </c>
      <c r="K13" s="65" t="e">
        <f>$F$13-$G$13-$H$13+$I$13</f>
        <v>#REF!</v>
      </c>
      <c r="L13" s="65"/>
      <c r="M13" s="65"/>
      <c r="N13" s="65"/>
      <c r="O13" s="46" t="e">
        <f>IF(NOT(($D$13)=""),"",$C$13+$B$13)</f>
        <v>#REF!</v>
      </c>
      <c r="P13" s="46" t="e">
        <f>IF(NOT(($D$13)=""),"",IF($B$13 &lt; 0,"",$B$13))</f>
        <v>#REF!</v>
      </c>
      <c r="Q13" s="46" t="e">
        <f>IF(NOT(($D$13)=""),"",IF($B$13&gt;=0,"",$B$13))</f>
        <v>#REF!</v>
      </c>
    </row>
    <row r="14" spans="1:17">
      <c r="B14" s="46" t="e">
        <f>#REF!</f>
        <v>#REF!</v>
      </c>
      <c r="C14" s="46" t="e">
        <f>IF(($D$13)="",$C$13+$B$13,$B$13)</f>
        <v>#REF!</v>
      </c>
      <c r="D14" s="65" t="e">
        <f>$B$14</f>
        <v>#REF!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46"/>
      <c r="P14" s="46"/>
      <c r="Q14" s="46"/>
    </row>
    <row r="16" spans="1:17">
      <c r="A16" s="45">
        <v>2</v>
      </c>
      <c r="B16" s="46" t="e">
        <f>#REF!</f>
        <v>#REF!</v>
      </c>
      <c r="C16" s="46"/>
      <c r="D16" s="65" t="e">
        <f>$B$16</f>
        <v>#REF!</v>
      </c>
      <c r="E16" s="65"/>
      <c r="F16" s="65"/>
      <c r="G16" s="65"/>
      <c r="H16" s="65"/>
      <c r="I16" s="65"/>
      <c r="J16" s="65"/>
      <c r="K16" s="65"/>
      <c r="L16" s="65" t="e">
        <f>IF(MAX($C$16:$C$28,$B$28)-MIN($C$16:$C$28,$B$28)=0,0,ROUNDDOWN(IF(MIN($C$16:$C$28,$B$28)&gt;0,MAX(0,MIN($C$16:$C$28,$B$28)-ABS(MAX($C$16:$C$28,$B$28)-MIN($C$16:$C$28,$B$28))/5),IF(MAX($C$16:$C$28,$B$28)&gt;0,0,MIN(0,MAX($C$16:$C$28,$B$28)+ABS(MAX($C$16:$C$28,$B$28)-MIN($C$16:$C$28,$B$28))/5)))/10^(INT(LOG10(MAX($C$16:$C$28,$B$28)-MIN($C$16:$C$28,$B$28)))),0)*10^(INT(LOG10(MAX($C$16:$C$28,$B$28)-MIN($C$16:$C$28,$B$28)))))</f>
        <v>#REF!</v>
      </c>
      <c r="M16" s="65"/>
      <c r="N16" s="65"/>
      <c r="O16" s="46"/>
      <c r="P16" s="46"/>
      <c r="Q16" s="46"/>
    </row>
    <row r="17" spans="1:17">
      <c r="B17" s="46" t="e">
        <f>#REF!</f>
        <v>#REF!</v>
      </c>
      <c r="C17" s="46" t="e">
        <f>$B$16</f>
        <v>#REF!</v>
      </c>
      <c r="D17" s="65"/>
      <c r="E17" s="65" t="e">
        <f>IF(NOT(($D$17)=""), ,IF(-1=SIGN($C$17)*SIGN($C$18),,$C$17+$B$17*(-1=SIGN($C$17)*SIGN($B$17))))</f>
        <v>#REF!</v>
      </c>
      <c r="F17" s="65" t="e">
        <f>IF(NOT(($D$17)=""), ,IF(AND($B$17&gt;=0,$C$18&gt;0),$B$17*($C$17&gt;=0)+$C$18*($C$17&lt;0),))</f>
        <v>#REF!</v>
      </c>
      <c r="G17" s="65" t="e">
        <f>IF(NOT(($D$17)=""),,IF(AND($B$17&gt;=0,$C$17&lt;0),-$B$17*($C$18&lt;=0)+$C$17*($C$18&gt;0),))</f>
        <v>#REF!</v>
      </c>
      <c r="H17" s="65" t="e">
        <f>IF(NOT(($D$17)=""), ,IF(AND($B$17&lt;=0,$C$17&gt;0),-$B$17*($C$18&gt;=0)+$C$17*($C$18&lt;0), ))</f>
        <v>#REF!</v>
      </c>
      <c r="I17" s="65" t="e">
        <f>IF(NOT(($D$17)=""), ,IF(AND($B$17&lt;=0,$C$18&lt;0),$B$17*($C$17&lt;=0)+$C$18*($C$17&gt;0), ))</f>
        <v>#REF!</v>
      </c>
      <c r="J17" s="65" t="e">
        <f>$E$17+($F$17+$G$17+$H$17+$I$17)/2</f>
        <v>#REF!</v>
      </c>
      <c r="K17" s="65" t="e">
        <f>$F$17-$G$17-$H$17+$I$17</f>
        <v>#REF!</v>
      </c>
      <c r="L17" s="65"/>
      <c r="M17" s="65"/>
      <c r="N17" s="65"/>
      <c r="O17" s="46" t="e">
        <f>IF(NOT(($D$17)=""),"",$C$17+$B$17)</f>
        <v>#REF!</v>
      </c>
      <c r="P17" s="46" t="e">
        <f>IF(NOT(($D$17)=""),"",IF($B$17 &lt; 0,"",$B$17))</f>
        <v>#REF!</v>
      </c>
      <c r="Q17" s="46" t="e">
        <f>IF(NOT(($D$17)=""),"",IF($B$17&gt;=0,"",$B$17))</f>
        <v>#REF!</v>
      </c>
    </row>
    <row r="18" spans="1:17">
      <c r="B18" s="46" t="e">
        <f>#REF!</f>
        <v>#REF!</v>
      </c>
      <c r="C18" s="46" t="e">
        <f>IF(($D$17)="",$C$17+$B$17,$B$17)</f>
        <v>#REF!</v>
      </c>
      <c r="D18" s="65"/>
      <c r="E18" s="65" t="e">
        <f>IF(NOT(($D$18)=""), ,IF(-1=SIGN($C$18)*SIGN($C$19),,$C$18+$B$18*(-1=SIGN($C$18)*SIGN($B$18))))</f>
        <v>#REF!</v>
      </c>
      <c r="F18" s="65" t="e">
        <f>IF(NOT(($D$18)=""), ,IF(AND($B$18&gt;=0,$C$19&gt;0),$B$18*($C$18&gt;=0)+$C$19*($C$18&lt;0),))</f>
        <v>#REF!</v>
      </c>
      <c r="G18" s="65" t="e">
        <f>IF(NOT(($D$18)=""),,IF(AND($B$18&gt;=0,$C$18&lt;0),-$B$18*($C$19&lt;=0)+$C$18*($C$19&gt;0),))</f>
        <v>#REF!</v>
      </c>
      <c r="H18" s="65" t="e">
        <f>IF(NOT(($D$18)=""), ,IF(AND($B$18&lt;=0,$C$18&gt;0),-$B$18*($C$19&gt;=0)+$C$18*($C$19&lt;0), ))</f>
        <v>#REF!</v>
      </c>
      <c r="I18" s="65" t="e">
        <f>IF(NOT(($D$18)=""), ,IF(AND($B$18&lt;=0,$C$19&lt;0),$B$18*($C$18&lt;=0)+$C$19*($C$18&gt;0), ))</f>
        <v>#REF!</v>
      </c>
      <c r="J18" s="65" t="e">
        <f>$E$18+($F$18+$G$18+$H$18+$I$18)/2</f>
        <v>#REF!</v>
      </c>
      <c r="K18" s="65" t="e">
        <f>$F$18-$G$18-$H$18+$I$18</f>
        <v>#REF!</v>
      </c>
      <c r="L18" s="65"/>
      <c r="M18" s="65"/>
      <c r="N18" s="65"/>
      <c r="O18" s="46" t="e">
        <f>IF(NOT(($D$18)=""),"",$C$18+$B$18)</f>
        <v>#REF!</v>
      </c>
      <c r="P18" s="46" t="e">
        <f>IF(NOT(($D$18)=""),"",IF($B$18 &lt; 0,"",$B$18))</f>
        <v>#REF!</v>
      </c>
      <c r="Q18" s="46" t="e">
        <f>IF(NOT(($D$18)=""),"",IF($B$18&gt;=0,"",$B$18))</f>
        <v>#REF!</v>
      </c>
    </row>
    <row r="19" spans="1:17">
      <c r="B19" s="46" t="e">
        <f>#REF!</f>
        <v>#REF!</v>
      </c>
      <c r="C19" s="46" t="e">
        <f>IF(($D$18)="",$C$18+$B$18,$B$18)</f>
        <v>#REF!</v>
      </c>
      <c r="D19" s="65"/>
      <c r="E19" s="65" t="e">
        <f>IF(NOT(($D$19)=""), ,IF(-1=SIGN($C$19)*SIGN($C$20),,$C$19+$B$19*(-1=SIGN($C$19)*SIGN($B$19))))</f>
        <v>#REF!</v>
      </c>
      <c r="F19" s="65" t="e">
        <f>IF(NOT(($D$19)=""), ,IF(AND($B$19&gt;=0,$C$20&gt;0),$B$19*($C$19&gt;=0)+$C$20*($C$19&lt;0),))</f>
        <v>#REF!</v>
      </c>
      <c r="G19" s="65" t="e">
        <f>IF(NOT(($D$19)=""),,IF(AND($B$19&gt;=0,$C$19&lt;0),-$B$19*($C$20&lt;=0)+$C$19*($C$20&gt;0),))</f>
        <v>#REF!</v>
      </c>
      <c r="H19" s="65" t="e">
        <f>IF(NOT(($D$19)=""), ,IF(AND($B$19&lt;=0,$C$19&gt;0),-$B$19*($C$20&gt;=0)+$C$19*($C$20&lt;0), ))</f>
        <v>#REF!</v>
      </c>
      <c r="I19" s="65" t="e">
        <f>IF(NOT(($D$19)=""), ,IF(AND($B$19&lt;=0,$C$20&lt;0),$B$19*($C$19&lt;=0)+$C$20*($C$19&gt;0), ))</f>
        <v>#REF!</v>
      </c>
      <c r="J19" s="65" t="e">
        <f>$E$19+($F$19+$G$19+$H$19+$I$19)/2</f>
        <v>#REF!</v>
      </c>
      <c r="K19" s="65" t="e">
        <f>$F$19-$G$19-$H$19+$I$19</f>
        <v>#REF!</v>
      </c>
      <c r="L19" s="65"/>
      <c r="M19" s="65"/>
      <c r="N19" s="65"/>
      <c r="O19" s="46" t="e">
        <f>IF(NOT(($D$19)=""),"",$C$19+$B$19)</f>
        <v>#REF!</v>
      </c>
      <c r="P19" s="46" t="e">
        <f>IF(NOT(($D$19)=""),"",IF($B$19 &lt; 0,"",$B$19))</f>
        <v>#REF!</v>
      </c>
      <c r="Q19" s="46" t="e">
        <f>IF(NOT(($D$19)=""),"",IF($B$19&gt;=0,"",$B$19))</f>
        <v>#REF!</v>
      </c>
    </row>
    <row r="20" spans="1:17">
      <c r="B20" s="46" t="e">
        <f>#REF!</f>
        <v>#REF!</v>
      </c>
      <c r="C20" s="46" t="e">
        <f>IF(($D$19)="",$C$19+$B$19,$B$19)</f>
        <v>#REF!</v>
      </c>
      <c r="D20" s="65"/>
      <c r="E20" s="65" t="e">
        <f>IF(NOT(($D$20)=""), ,IF(-1=SIGN($C$20)*SIGN($C$21),,$C$20+$B$20*(-1=SIGN($C$20)*SIGN($B$20))))</f>
        <v>#REF!</v>
      </c>
      <c r="F20" s="65" t="e">
        <f>IF(NOT(($D$20)=""), ,IF(AND($B$20&gt;=0,$C$21&gt;0),$B$20*($C$20&gt;=0)+$C$21*($C$20&lt;0),))</f>
        <v>#REF!</v>
      </c>
      <c r="G20" s="65" t="e">
        <f>IF(NOT(($D$20)=""),,IF(AND($B$20&gt;=0,$C$20&lt;0),-$B$20*($C$21&lt;=0)+$C$20*($C$21&gt;0),))</f>
        <v>#REF!</v>
      </c>
      <c r="H20" s="65" t="e">
        <f>IF(NOT(($D$20)=""), ,IF(AND($B$20&lt;=0,$C$20&gt;0),-$B$20*($C$21&gt;=0)+$C$20*($C$21&lt;0), ))</f>
        <v>#REF!</v>
      </c>
      <c r="I20" s="65" t="e">
        <f>IF(NOT(($D$20)=""), ,IF(AND($B$20&lt;=0,$C$21&lt;0),$B$20*($C$20&lt;=0)+$C$21*($C$20&gt;0), ))</f>
        <v>#REF!</v>
      </c>
      <c r="J20" s="65" t="e">
        <f>$E$20+($F$20+$G$20+$H$20+$I$20)/2</f>
        <v>#REF!</v>
      </c>
      <c r="K20" s="65" t="e">
        <f>$F$20-$G$20-$H$20+$I$20</f>
        <v>#REF!</v>
      </c>
      <c r="L20" s="65"/>
      <c r="M20" s="65"/>
      <c r="N20" s="65"/>
      <c r="O20" s="46" t="e">
        <f>IF(NOT(($D$20)=""),"",$C$20+$B$20)</f>
        <v>#REF!</v>
      </c>
      <c r="P20" s="46" t="e">
        <f>IF(NOT(($D$20)=""),"",IF($B$20 &lt; 0,"",$B$20))</f>
        <v>#REF!</v>
      </c>
      <c r="Q20" s="46" t="e">
        <f>IF(NOT(($D$20)=""),"",IF($B$20&gt;=0,"",$B$20))</f>
        <v>#REF!</v>
      </c>
    </row>
    <row r="21" spans="1:17">
      <c r="B21" s="46" t="e">
        <f>#REF!</f>
        <v>#REF!</v>
      </c>
      <c r="C21" s="46" t="e">
        <f>IF(($D$20)="",$C$20+$B$20,$B$20)</f>
        <v>#REF!</v>
      </c>
      <c r="D21" s="65"/>
      <c r="E21" s="65" t="e">
        <f>IF(NOT(($D$21)=""), ,IF(-1=SIGN($C$21)*SIGN($C$22),,$C$21+$B$21*(-1=SIGN($C$21)*SIGN($B$21))))</f>
        <v>#REF!</v>
      </c>
      <c r="F21" s="65" t="e">
        <f>IF(NOT(($D$21)=""), ,IF(AND($B$21&gt;=0,$C$22&gt;0),$B$21*($C$21&gt;=0)+$C$22*($C$21&lt;0),))</f>
        <v>#REF!</v>
      </c>
      <c r="G21" s="65" t="e">
        <f>IF(NOT(($D$21)=""),,IF(AND($B$21&gt;=0,$C$21&lt;0),-$B$21*($C$22&lt;=0)+$C$21*($C$22&gt;0),))</f>
        <v>#REF!</v>
      </c>
      <c r="H21" s="65" t="e">
        <f>IF(NOT(($D$21)=""), ,IF(AND($B$21&lt;=0,$C$21&gt;0),-$B$21*($C$22&gt;=0)+$C$21*($C$22&lt;0), ))</f>
        <v>#REF!</v>
      </c>
      <c r="I21" s="65" t="e">
        <f>IF(NOT(($D$21)=""), ,IF(AND($B$21&lt;=0,$C$22&lt;0),$B$21*($C$21&lt;=0)+$C$22*($C$21&gt;0), ))</f>
        <v>#REF!</v>
      </c>
      <c r="J21" s="65" t="e">
        <f>$E$21+($F$21+$G$21+$H$21+$I$21)/2</f>
        <v>#REF!</v>
      </c>
      <c r="K21" s="65" t="e">
        <f>$F$21-$G$21-$H$21+$I$21</f>
        <v>#REF!</v>
      </c>
      <c r="L21" s="65"/>
      <c r="M21" s="65"/>
      <c r="N21" s="65"/>
      <c r="O21" s="46" t="e">
        <f>IF(NOT(($D$21)=""),"",$C$21+$B$21)</f>
        <v>#REF!</v>
      </c>
      <c r="P21" s="46" t="e">
        <f>IF(NOT(($D$21)=""),"",IF($B$21 &lt; 0,"",$B$21))</f>
        <v>#REF!</v>
      </c>
      <c r="Q21" s="46" t="e">
        <f>IF(NOT(($D$21)=""),"",IF($B$21&gt;=0,"",$B$21))</f>
        <v>#REF!</v>
      </c>
    </row>
    <row r="22" spans="1:17">
      <c r="B22" s="46" t="e">
        <f>#REF!</f>
        <v>#REF!</v>
      </c>
      <c r="C22" s="46" t="e">
        <f>IF(($D$21)="",$C$21+$B$21,$B$21)</f>
        <v>#REF!</v>
      </c>
      <c r="D22" s="65"/>
      <c r="E22" s="65" t="e">
        <f>IF(NOT(($D$22)=""), ,IF(-1=SIGN($C$22)*SIGN($C$23),,$C$22+$B$22*(-1=SIGN($C$22)*SIGN($B$22))))</f>
        <v>#REF!</v>
      </c>
      <c r="F22" s="65" t="e">
        <f>IF(NOT(($D$22)=""), ,IF(AND($B$22&gt;=0,$C$23&gt;0),$B$22*($C$22&gt;=0)+$C$23*($C$22&lt;0),))</f>
        <v>#REF!</v>
      </c>
      <c r="G22" s="65" t="e">
        <f>IF(NOT(($D$22)=""),,IF(AND($B$22&gt;=0,$C$22&lt;0),-$B$22*($C$23&lt;=0)+$C$22*($C$23&gt;0),))</f>
        <v>#REF!</v>
      </c>
      <c r="H22" s="65" t="e">
        <f>IF(NOT(($D$22)=""), ,IF(AND($B$22&lt;=0,$C$22&gt;0),-$B$22*($C$23&gt;=0)+$C$22*($C$23&lt;0), ))</f>
        <v>#REF!</v>
      </c>
      <c r="I22" s="65" t="e">
        <f>IF(NOT(($D$22)=""), ,IF(AND($B$22&lt;=0,$C$23&lt;0),$B$22*($C$22&lt;=0)+$C$23*($C$22&gt;0), ))</f>
        <v>#REF!</v>
      </c>
      <c r="J22" s="65" t="e">
        <f>$E$22+($F$22+$G$22+$H$22+$I$22)/2</f>
        <v>#REF!</v>
      </c>
      <c r="K22" s="65" t="e">
        <f>$F$22-$G$22-$H$22+$I$22</f>
        <v>#REF!</v>
      </c>
      <c r="L22" s="65"/>
      <c r="M22" s="65"/>
      <c r="N22" s="65"/>
      <c r="O22" s="46" t="e">
        <f>IF(NOT(($D$22)=""),"",$C$22+$B$22)</f>
        <v>#REF!</v>
      </c>
      <c r="P22" s="46" t="e">
        <f>IF(NOT(($D$22)=""),"",IF($B$22 &lt; 0,"",$B$22))</f>
        <v>#REF!</v>
      </c>
      <c r="Q22" s="46" t="e">
        <f>IF(NOT(($D$22)=""),"",IF($B$22&gt;=0,"",$B$22))</f>
        <v>#REF!</v>
      </c>
    </row>
    <row r="23" spans="1:17">
      <c r="B23" s="46" t="e">
        <f>#REF!</f>
        <v>#REF!</v>
      </c>
      <c r="C23" s="46" t="e">
        <f>IF(($D$22)="",$C$22+$B$22,$B$22)</f>
        <v>#REF!</v>
      </c>
      <c r="D23" s="65"/>
      <c r="E23" s="65" t="e">
        <f>IF(NOT(($D$23)=""), ,IF(-1=SIGN($C$23)*SIGN($C$24),,$C$23+$B$23*(-1=SIGN($C$23)*SIGN($B$23))))</f>
        <v>#REF!</v>
      </c>
      <c r="F23" s="65" t="e">
        <f>IF(NOT(($D$23)=""), ,IF(AND($B$23&gt;=0,$C$24&gt;0),$B$23*($C$23&gt;=0)+$C$24*($C$23&lt;0),))</f>
        <v>#REF!</v>
      </c>
      <c r="G23" s="65" t="e">
        <f>IF(NOT(($D$23)=""),,IF(AND($B$23&gt;=0,$C$23&lt;0),-$B$23*($C$24&lt;=0)+$C$23*($C$24&gt;0),))</f>
        <v>#REF!</v>
      </c>
      <c r="H23" s="65" t="e">
        <f>IF(NOT(($D$23)=""), ,IF(AND($B$23&lt;=0,$C$23&gt;0),-$B$23*($C$24&gt;=0)+$C$23*($C$24&lt;0), ))</f>
        <v>#REF!</v>
      </c>
      <c r="I23" s="65" t="e">
        <f>IF(NOT(($D$23)=""), ,IF(AND($B$23&lt;=0,$C$24&lt;0),$B$23*($C$23&lt;=0)+$C$24*($C$23&gt;0), ))</f>
        <v>#REF!</v>
      </c>
      <c r="J23" s="65" t="e">
        <f>$E$23+($F$23+$G$23+$H$23+$I$23)/2</f>
        <v>#REF!</v>
      </c>
      <c r="K23" s="65" t="e">
        <f>$F$23-$G$23-$H$23+$I$23</f>
        <v>#REF!</v>
      </c>
      <c r="L23" s="65"/>
      <c r="M23" s="65"/>
      <c r="N23" s="65"/>
      <c r="O23" s="46" t="e">
        <f>IF(NOT(($D$23)=""),"",$C$23+$B$23)</f>
        <v>#REF!</v>
      </c>
      <c r="P23" s="46" t="e">
        <f>IF(NOT(($D$23)=""),"",IF($B$23 &lt; 0,"",$B$23))</f>
        <v>#REF!</v>
      </c>
      <c r="Q23" s="46" t="e">
        <f>IF(NOT(($D$23)=""),"",IF($B$23&gt;=0,"",$B$23))</f>
        <v>#REF!</v>
      </c>
    </row>
    <row r="24" spans="1:17">
      <c r="B24" s="46" t="e">
        <f>#REF!</f>
        <v>#REF!</v>
      </c>
      <c r="C24" s="46" t="e">
        <f>IF(($D$23)="",$C$23+$B$23,$B$23)</f>
        <v>#REF!</v>
      </c>
      <c r="D24" s="65"/>
      <c r="E24" s="65" t="e">
        <f>IF(NOT(($D$24)=""), ,IF(-1=SIGN($C$24)*SIGN($C$25),,$C$24+$B$24*(-1=SIGN($C$24)*SIGN($B$24))))</f>
        <v>#REF!</v>
      </c>
      <c r="F24" s="65" t="e">
        <f>IF(NOT(($D$24)=""), ,IF(AND($B$24&gt;=0,$C$25&gt;0),$B$24*($C$24&gt;=0)+$C$25*($C$24&lt;0),))</f>
        <v>#REF!</v>
      </c>
      <c r="G24" s="65" t="e">
        <f>IF(NOT(($D$24)=""),,IF(AND($B$24&gt;=0,$C$24&lt;0),-$B$24*($C$25&lt;=0)+$C$24*($C$25&gt;0),))</f>
        <v>#REF!</v>
      </c>
      <c r="H24" s="65" t="e">
        <f>IF(NOT(($D$24)=""), ,IF(AND($B$24&lt;=0,$C$24&gt;0),-$B$24*($C$25&gt;=0)+$C$24*($C$25&lt;0), ))</f>
        <v>#REF!</v>
      </c>
      <c r="I24" s="65" t="e">
        <f>IF(NOT(($D$24)=""), ,IF(AND($B$24&lt;=0,$C$25&lt;0),$B$24*($C$24&lt;=0)+$C$25*($C$24&gt;0), ))</f>
        <v>#REF!</v>
      </c>
      <c r="J24" s="65" t="e">
        <f>$E$24+($F$24+$G$24+$H$24+$I$24)/2</f>
        <v>#REF!</v>
      </c>
      <c r="K24" s="65" t="e">
        <f>$F$24-$G$24-$H$24+$I$24</f>
        <v>#REF!</v>
      </c>
      <c r="L24" s="65"/>
      <c r="M24" s="65"/>
      <c r="N24" s="65"/>
      <c r="O24" s="46" t="e">
        <f>IF(NOT(($D$24)=""),"",$C$24+$B$24)</f>
        <v>#REF!</v>
      </c>
      <c r="P24" s="46" t="e">
        <f>IF(NOT(($D$24)=""),"",IF($B$24 &lt; 0,"",$B$24))</f>
        <v>#REF!</v>
      </c>
      <c r="Q24" s="46" t="e">
        <f>IF(NOT(($D$24)=""),"",IF($B$24&gt;=0,"",$B$24))</f>
        <v>#REF!</v>
      </c>
    </row>
    <row r="25" spans="1:17">
      <c r="B25" s="46" t="e">
        <f>#REF!</f>
        <v>#REF!</v>
      </c>
      <c r="C25" s="46" t="e">
        <f>IF(($D$24)="",$C$24+$B$24,$B$24)</f>
        <v>#REF!</v>
      </c>
      <c r="D25" s="65"/>
      <c r="E25" s="65" t="e">
        <f>IF(NOT(($D$25)=""), ,IF(-1=SIGN($C$25)*SIGN($C$26),,$C$25+$B$25*(-1=SIGN($C$25)*SIGN($B$25))))</f>
        <v>#REF!</v>
      </c>
      <c r="F25" s="65" t="e">
        <f>IF(NOT(($D$25)=""), ,IF(AND($B$25&gt;=0,$C$26&gt;0),$B$25*($C$25&gt;=0)+$C$26*($C$25&lt;0),))</f>
        <v>#REF!</v>
      </c>
      <c r="G25" s="65" t="e">
        <f>IF(NOT(($D$25)=""),,IF(AND($B$25&gt;=0,$C$25&lt;0),-$B$25*($C$26&lt;=0)+$C$25*($C$26&gt;0),))</f>
        <v>#REF!</v>
      </c>
      <c r="H25" s="65" t="e">
        <f>IF(NOT(($D$25)=""), ,IF(AND($B$25&lt;=0,$C$25&gt;0),-$B$25*($C$26&gt;=0)+$C$25*($C$26&lt;0), ))</f>
        <v>#REF!</v>
      </c>
      <c r="I25" s="65" t="e">
        <f>IF(NOT(($D$25)=""), ,IF(AND($B$25&lt;=0,$C$26&lt;0),$B$25*($C$25&lt;=0)+$C$26*($C$25&gt;0), ))</f>
        <v>#REF!</v>
      </c>
      <c r="J25" s="65" t="e">
        <f>$E$25+($F$25+$G$25+$H$25+$I$25)/2</f>
        <v>#REF!</v>
      </c>
      <c r="K25" s="65" t="e">
        <f>$F$25-$G$25-$H$25+$I$25</f>
        <v>#REF!</v>
      </c>
      <c r="L25" s="65"/>
      <c r="M25" s="65"/>
      <c r="N25" s="65"/>
      <c r="O25" s="46" t="e">
        <f>IF(NOT(($D$25)=""),"",$C$25+$B$25)</f>
        <v>#REF!</v>
      </c>
      <c r="P25" s="46" t="e">
        <f>IF(NOT(($D$25)=""),"",IF($B$25 &lt; 0,"",$B$25))</f>
        <v>#REF!</v>
      </c>
      <c r="Q25" s="46" t="e">
        <f>IF(NOT(($D$25)=""),"",IF($B$25&gt;=0,"",$B$25))</f>
        <v>#REF!</v>
      </c>
    </row>
    <row r="26" spans="1:17">
      <c r="B26" s="46" t="e">
        <f>#REF!</f>
        <v>#REF!</v>
      </c>
      <c r="C26" s="46" t="e">
        <f>IF(($D$25)="",$C$25+$B$25,$B$25)</f>
        <v>#REF!</v>
      </c>
      <c r="D26" s="65"/>
      <c r="E26" s="65" t="e">
        <f>IF(NOT(($D$26)=""), ,IF(-1=SIGN($C$26)*SIGN($C$27),,$C$26+$B$26*(-1=SIGN($C$26)*SIGN($B$26))))</f>
        <v>#REF!</v>
      </c>
      <c r="F26" s="65" t="e">
        <f>IF(NOT(($D$26)=""), ,IF(AND($B$26&gt;=0,$C$27&gt;0),$B$26*($C$26&gt;=0)+$C$27*($C$26&lt;0),))</f>
        <v>#REF!</v>
      </c>
      <c r="G26" s="65" t="e">
        <f>IF(NOT(($D$26)=""),,IF(AND($B$26&gt;=0,$C$26&lt;0),-$B$26*($C$27&lt;=0)+$C$26*($C$27&gt;0),))</f>
        <v>#REF!</v>
      </c>
      <c r="H26" s="65" t="e">
        <f>IF(NOT(($D$26)=""), ,IF(AND($B$26&lt;=0,$C$26&gt;0),-$B$26*($C$27&gt;=0)+$C$26*($C$27&lt;0), ))</f>
        <v>#REF!</v>
      </c>
      <c r="I26" s="65" t="e">
        <f>IF(NOT(($D$26)=""), ,IF(AND($B$26&lt;=0,$C$27&lt;0),$B$26*($C$26&lt;=0)+$C$27*($C$26&gt;0), ))</f>
        <v>#REF!</v>
      </c>
      <c r="J26" s="65" t="e">
        <f>$E$26+($F$26+$G$26+$H$26+$I$26)/2</f>
        <v>#REF!</v>
      </c>
      <c r="K26" s="65" t="e">
        <f>$F$26-$G$26-$H$26+$I$26</f>
        <v>#REF!</v>
      </c>
      <c r="L26" s="65"/>
      <c r="M26" s="65"/>
      <c r="N26" s="65"/>
      <c r="O26" s="46" t="e">
        <f>IF(NOT(($D$26)=""),"",$C$26+$B$26)</f>
        <v>#REF!</v>
      </c>
      <c r="P26" s="46" t="e">
        <f>IF(NOT(($D$26)=""),"",IF($B$26 &lt; 0,"",$B$26))</f>
        <v>#REF!</v>
      </c>
      <c r="Q26" s="46" t="e">
        <f>IF(NOT(($D$26)=""),"",IF($B$26&gt;=0,"",$B$26))</f>
        <v>#REF!</v>
      </c>
    </row>
    <row r="27" spans="1:17">
      <c r="B27" s="46" t="e">
        <f>#REF!</f>
        <v>#REF!</v>
      </c>
      <c r="C27" s="46" t="e">
        <f>IF(($D$26)="",$C$26+$B$26,$B$26)</f>
        <v>#REF!</v>
      </c>
      <c r="D27" s="65"/>
      <c r="E27" s="65" t="e">
        <f>IF(NOT(($D$27)=""), ,IF(-1=SIGN($C$27)*SIGN($C$28),,$C$27+$B$27*(-1=SIGN($C$27)*SIGN($B$27))))</f>
        <v>#REF!</v>
      </c>
      <c r="F27" s="65" t="e">
        <f>IF(NOT(($D$27)=""), ,IF(AND($B$27&gt;=0,$C$28&gt;0),$B$27*($C$27&gt;=0)+$C$28*($C$27&lt;0),))</f>
        <v>#REF!</v>
      </c>
      <c r="G27" s="65" t="e">
        <f>IF(NOT(($D$27)=""),,IF(AND($B$27&gt;=0,$C$27&lt;0),-$B$27*($C$28&lt;=0)+$C$27*($C$28&gt;0),))</f>
        <v>#REF!</v>
      </c>
      <c r="H27" s="65" t="e">
        <f>IF(NOT(($D$27)=""), ,IF(AND($B$27&lt;=0,$C$27&gt;0),-$B$27*($C$28&gt;=0)+$C$27*($C$28&lt;0), ))</f>
        <v>#REF!</v>
      </c>
      <c r="I27" s="65" t="e">
        <f>IF(NOT(($D$27)=""), ,IF(AND($B$27&lt;=0,$C$28&lt;0),$B$27*($C$27&lt;=0)+$C$28*($C$27&gt;0), ))</f>
        <v>#REF!</v>
      </c>
      <c r="J27" s="65" t="e">
        <f>$E$27+($F$27+$G$27+$H$27+$I$27)/2</f>
        <v>#REF!</v>
      </c>
      <c r="K27" s="65" t="e">
        <f>$F$27-$G$27-$H$27+$I$27</f>
        <v>#REF!</v>
      </c>
      <c r="L27" s="65"/>
      <c r="M27" s="65"/>
      <c r="N27" s="65"/>
      <c r="O27" s="46" t="e">
        <f>IF(NOT(($D$27)=""),"",$C$27+$B$27)</f>
        <v>#REF!</v>
      </c>
      <c r="P27" s="46" t="e">
        <f>IF(NOT(($D$27)=""),"",IF($B$27 &lt; 0,"",$B$27))</f>
        <v>#REF!</v>
      </c>
      <c r="Q27" s="46" t="e">
        <f>IF(NOT(($D$27)=""),"",IF($B$27&gt;=0,"",$B$27))</f>
        <v>#REF!</v>
      </c>
    </row>
    <row r="28" spans="1:17">
      <c r="B28" s="46" t="e">
        <f>#REF!</f>
        <v>#REF!</v>
      </c>
      <c r="C28" s="46" t="e">
        <f>IF(($D$27)="",$C$27+$B$27,$B$27)</f>
        <v>#REF!</v>
      </c>
      <c r="D28" s="65" t="e">
        <f>$B$28</f>
        <v>#REF!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46"/>
      <c r="P28" s="46"/>
      <c r="Q28" s="46"/>
    </row>
    <row r="30" spans="1:17">
      <c r="A30" s="45">
        <v>3</v>
      </c>
      <c r="B30" s="46" t="e">
        <f>#REF!</f>
        <v>#REF!</v>
      </c>
      <c r="C30" s="46"/>
      <c r="D30" s="65" t="e">
        <f>$B$30</f>
        <v>#REF!</v>
      </c>
      <c r="E30" s="65"/>
      <c r="F30" s="65"/>
      <c r="G30" s="65"/>
      <c r="H30" s="65"/>
      <c r="I30" s="65"/>
      <c r="J30" s="65"/>
      <c r="K30" s="65"/>
      <c r="L30" s="65" t="e">
        <f>IF(MAX($C$30:$C$42,$B$42)-MIN($C$30:$C$42,$B$42)=0,0,ROUNDDOWN(IF(MIN($C$30:$C$42,$B$42)&gt;0,MAX(0,MIN($C$30:$C$42,$B$42)-ABS(MAX($C$30:$C$42,$B$42)-MIN($C$30:$C$42,$B$42))/5),IF(MAX($C$30:$C$42,$B$42)&gt;0,0,MIN(0,MAX($C$30:$C$42,$B$42)+ABS(MAX($C$30:$C$42,$B$42)-MIN($C$30:$C$42,$B$42))/5)))/10^(INT(LOG10(MAX($C$30:$C$42,$B$42)-MIN($C$30:$C$42,$B$42)))),0)*10^(INT(LOG10(MAX($C$30:$C$42,$B$42)-MIN($C$30:$C$42,$B$42)))))</f>
        <v>#REF!</v>
      </c>
      <c r="M30" s="65"/>
      <c r="N30" s="65"/>
      <c r="O30" s="46"/>
      <c r="P30" s="46"/>
      <c r="Q30" s="46"/>
    </row>
    <row r="31" spans="1:17">
      <c r="B31" s="46" t="e">
        <f>#REF!</f>
        <v>#REF!</v>
      </c>
      <c r="C31" s="46" t="e">
        <f>$B$30</f>
        <v>#REF!</v>
      </c>
      <c r="D31" s="65"/>
      <c r="E31" s="65" t="e">
        <f>IF(NOT(($D$31)=""), ,IF(-1=SIGN($C$31)*SIGN($C$32),,$C$31+$B$31*(-1=SIGN($C$31)*SIGN($B$31))))</f>
        <v>#REF!</v>
      </c>
      <c r="F31" s="65" t="e">
        <f>IF(NOT(($D$31)=""), ,IF(AND($B$31&gt;=0,$C$32&gt;0),$B$31*($C$31&gt;=0)+$C$32*($C$31&lt;0),))</f>
        <v>#REF!</v>
      </c>
      <c r="G31" s="65" t="e">
        <f>IF(NOT(($D$31)=""),,IF(AND($B$31&gt;=0,$C$31&lt;0),-$B$31*($C$32&lt;=0)+$C$31*($C$32&gt;0),))</f>
        <v>#REF!</v>
      </c>
      <c r="H31" s="65" t="e">
        <f>IF(NOT(($D$31)=""), ,IF(AND($B$31&lt;=0,$C$31&gt;0),-$B$31*($C$32&gt;=0)+$C$31*($C$32&lt;0), ))</f>
        <v>#REF!</v>
      </c>
      <c r="I31" s="65" t="e">
        <f>IF(NOT(($D$31)=""), ,IF(AND($B$31&lt;=0,$C$32&lt;0),$B$31*($C$31&lt;=0)+$C$32*($C$31&gt;0), ))</f>
        <v>#REF!</v>
      </c>
      <c r="J31" s="65" t="e">
        <f>$E$31+($F$31+$G$31+$H$31+$I$31)/2</f>
        <v>#REF!</v>
      </c>
      <c r="K31" s="65" t="e">
        <f>$F$31-$G$31-$H$31+$I$31</f>
        <v>#REF!</v>
      </c>
      <c r="L31" s="65"/>
      <c r="M31" s="65"/>
      <c r="N31" s="65"/>
      <c r="O31" s="46" t="e">
        <f>IF(NOT(($D$31)=""),"",$C$31+$B$31)</f>
        <v>#REF!</v>
      </c>
      <c r="P31" s="46" t="e">
        <f>IF(NOT(($D$31)=""),"",IF($B$31 &lt; 0,"",$B$31))</f>
        <v>#REF!</v>
      </c>
      <c r="Q31" s="46" t="e">
        <f>IF(NOT(($D$31)=""),"",IF($B$31&gt;=0,"",$B$31))</f>
        <v>#REF!</v>
      </c>
    </row>
    <row r="32" spans="1:17">
      <c r="B32" s="46" t="e">
        <f>#REF!</f>
        <v>#REF!</v>
      </c>
      <c r="C32" s="46" t="e">
        <f>IF(($D$31)="",$C$31+$B$31,$B$31)</f>
        <v>#REF!</v>
      </c>
      <c r="D32" s="65"/>
      <c r="E32" s="65" t="e">
        <f>IF(NOT(($D$32)=""), ,IF(-1=SIGN($C$32)*SIGN($C$33),,$C$32+$B$32*(-1=SIGN($C$32)*SIGN($B$32))))</f>
        <v>#REF!</v>
      </c>
      <c r="F32" s="65" t="e">
        <f>IF(NOT(($D$32)=""), ,IF(AND($B$32&gt;=0,$C$33&gt;0),$B$32*($C$32&gt;=0)+$C$33*($C$32&lt;0),))</f>
        <v>#REF!</v>
      </c>
      <c r="G32" s="65" t="e">
        <f>IF(NOT(($D$32)=""),,IF(AND($B$32&gt;=0,$C$32&lt;0),-$B$32*($C$33&lt;=0)+$C$32*($C$33&gt;0),))</f>
        <v>#REF!</v>
      </c>
      <c r="H32" s="65" t="e">
        <f>IF(NOT(($D$32)=""), ,IF(AND($B$32&lt;=0,$C$32&gt;0),-$B$32*($C$33&gt;=0)+$C$32*($C$33&lt;0), ))</f>
        <v>#REF!</v>
      </c>
      <c r="I32" s="65" t="e">
        <f>IF(NOT(($D$32)=""), ,IF(AND($B$32&lt;=0,$C$33&lt;0),$B$32*($C$32&lt;=0)+$C$33*($C$32&gt;0), ))</f>
        <v>#REF!</v>
      </c>
      <c r="J32" s="65" t="e">
        <f>$E$32+($F$32+$G$32+$H$32+$I$32)/2</f>
        <v>#REF!</v>
      </c>
      <c r="K32" s="65" t="e">
        <f>$F$32-$G$32-$H$32+$I$32</f>
        <v>#REF!</v>
      </c>
      <c r="L32" s="65"/>
      <c r="M32" s="65"/>
      <c r="N32" s="65"/>
      <c r="O32" s="46" t="e">
        <f>IF(NOT(($D$32)=""),"",$C$32+$B$32)</f>
        <v>#REF!</v>
      </c>
      <c r="P32" s="46" t="e">
        <f>IF(NOT(($D$32)=""),"",IF($B$32 &lt; 0,"",$B$32))</f>
        <v>#REF!</v>
      </c>
      <c r="Q32" s="46" t="e">
        <f>IF(NOT(($D$32)=""),"",IF($B$32&gt;=0,"",$B$32))</f>
        <v>#REF!</v>
      </c>
    </row>
    <row r="33" spans="1:17">
      <c r="B33" s="46" t="e">
        <f>#REF!</f>
        <v>#REF!</v>
      </c>
      <c r="C33" s="46" t="e">
        <f>IF(($D$32)="",$C$32+$B$32,$B$32)</f>
        <v>#REF!</v>
      </c>
      <c r="D33" s="65"/>
      <c r="E33" s="65" t="e">
        <f>IF(NOT(($D$33)=""), ,IF(-1=SIGN($C$33)*SIGN($C$34),,$C$33+$B$33*(-1=SIGN($C$33)*SIGN($B$33))))</f>
        <v>#REF!</v>
      </c>
      <c r="F33" s="65" t="e">
        <f>IF(NOT(($D$33)=""), ,IF(AND($B$33&gt;=0,$C$34&gt;0),$B$33*($C$33&gt;=0)+$C$34*($C$33&lt;0),))</f>
        <v>#REF!</v>
      </c>
      <c r="G33" s="65" t="e">
        <f>IF(NOT(($D$33)=""),,IF(AND($B$33&gt;=0,$C$33&lt;0),-$B$33*($C$34&lt;=0)+$C$33*($C$34&gt;0),))</f>
        <v>#REF!</v>
      </c>
      <c r="H33" s="65" t="e">
        <f>IF(NOT(($D$33)=""), ,IF(AND($B$33&lt;=0,$C$33&gt;0),-$B$33*($C$34&gt;=0)+$C$33*($C$34&lt;0), ))</f>
        <v>#REF!</v>
      </c>
      <c r="I33" s="65" t="e">
        <f>IF(NOT(($D$33)=""), ,IF(AND($B$33&lt;=0,$C$34&lt;0),$B$33*($C$33&lt;=0)+$C$34*($C$33&gt;0), ))</f>
        <v>#REF!</v>
      </c>
      <c r="J33" s="65" t="e">
        <f>$E$33+($F$33+$G$33+$H$33+$I$33)/2</f>
        <v>#REF!</v>
      </c>
      <c r="K33" s="65" t="e">
        <f>$F$33-$G$33-$H$33+$I$33</f>
        <v>#REF!</v>
      </c>
      <c r="L33" s="65"/>
      <c r="M33" s="65"/>
      <c r="N33" s="65"/>
      <c r="O33" s="46" t="e">
        <f>IF(NOT(($D$33)=""),"",$C$33+$B$33)</f>
        <v>#REF!</v>
      </c>
      <c r="P33" s="46" t="e">
        <f>IF(NOT(($D$33)=""),"",IF($B$33 &lt; 0,"",$B$33))</f>
        <v>#REF!</v>
      </c>
      <c r="Q33" s="46" t="e">
        <f>IF(NOT(($D$33)=""),"",IF($B$33&gt;=0,"",$B$33))</f>
        <v>#REF!</v>
      </c>
    </row>
    <row r="34" spans="1:17">
      <c r="B34" s="46" t="e">
        <f>#REF!</f>
        <v>#REF!</v>
      </c>
      <c r="C34" s="46" t="e">
        <f>IF(($D$33)="",$C$33+$B$33,$B$33)</f>
        <v>#REF!</v>
      </c>
      <c r="D34" s="65"/>
      <c r="E34" s="65" t="e">
        <f>IF(NOT(($D$34)=""), ,IF(-1=SIGN($C$34)*SIGN($C$35),,$C$34+$B$34*(-1=SIGN($C$34)*SIGN($B$34))))</f>
        <v>#REF!</v>
      </c>
      <c r="F34" s="65" t="e">
        <f>IF(NOT(($D$34)=""), ,IF(AND($B$34&gt;=0,$C$35&gt;0),$B$34*($C$34&gt;=0)+$C$35*($C$34&lt;0),))</f>
        <v>#REF!</v>
      </c>
      <c r="G34" s="65" t="e">
        <f>IF(NOT(($D$34)=""),,IF(AND($B$34&gt;=0,$C$34&lt;0),-$B$34*($C$35&lt;=0)+$C$34*($C$35&gt;0),))</f>
        <v>#REF!</v>
      </c>
      <c r="H34" s="65" t="e">
        <f>IF(NOT(($D$34)=""), ,IF(AND($B$34&lt;=0,$C$34&gt;0),-$B$34*($C$35&gt;=0)+$C$34*($C$35&lt;0), ))</f>
        <v>#REF!</v>
      </c>
      <c r="I34" s="65" t="e">
        <f>IF(NOT(($D$34)=""), ,IF(AND($B$34&lt;=0,$C$35&lt;0),$B$34*($C$34&lt;=0)+$C$35*($C$34&gt;0), ))</f>
        <v>#REF!</v>
      </c>
      <c r="J34" s="65" t="e">
        <f>$E$34+($F$34+$G$34+$H$34+$I$34)/2</f>
        <v>#REF!</v>
      </c>
      <c r="K34" s="65" t="e">
        <f>$F$34-$G$34-$H$34+$I$34</f>
        <v>#REF!</v>
      </c>
      <c r="L34" s="65"/>
      <c r="M34" s="65"/>
      <c r="N34" s="65"/>
      <c r="O34" s="46" t="e">
        <f>IF(NOT(($D$34)=""),"",$C$34+$B$34)</f>
        <v>#REF!</v>
      </c>
      <c r="P34" s="46" t="e">
        <f>IF(NOT(($D$34)=""),"",IF($B$34 &lt; 0,"",$B$34))</f>
        <v>#REF!</v>
      </c>
      <c r="Q34" s="46" t="e">
        <f>IF(NOT(($D$34)=""),"",IF($B$34&gt;=0,"",$B$34))</f>
        <v>#REF!</v>
      </c>
    </row>
    <row r="35" spans="1:17">
      <c r="B35" s="46" t="e">
        <f>#REF!</f>
        <v>#REF!</v>
      </c>
      <c r="C35" s="46" t="e">
        <f>IF(($D$34)="",$C$34+$B$34,$B$34)</f>
        <v>#REF!</v>
      </c>
      <c r="D35" s="65"/>
      <c r="E35" s="65" t="e">
        <f>IF(NOT(($D$35)=""), ,IF(-1=SIGN($C$35)*SIGN($C$36),,$C$35+$B$35*(-1=SIGN($C$35)*SIGN($B$35))))</f>
        <v>#REF!</v>
      </c>
      <c r="F35" s="65" t="e">
        <f>IF(NOT(($D$35)=""), ,IF(AND($B$35&gt;=0,$C$36&gt;0),$B$35*($C$35&gt;=0)+$C$36*($C$35&lt;0),))</f>
        <v>#REF!</v>
      </c>
      <c r="G35" s="65" t="e">
        <f>IF(NOT(($D$35)=""),,IF(AND($B$35&gt;=0,$C$35&lt;0),-$B$35*($C$36&lt;=0)+$C$35*($C$36&gt;0),))</f>
        <v>#REF!</v>
      </c>
      <c r="H35" s="65" t="e">
        <f>IF(NOT(($D$35)=""), ,IF(AND($B$35&lt;=0,$C$35&gt;0),-$B$35*($C$36&gt;=0)+$C$35*($C$36&lt;0), ))</f>
        <v>#REF!</v>
      </c>
      <c r="I35" s="65" t="e">
        <f>IF(NOT(($D$35)=""), ,IF(AND($B$35&lt;=0,$C$36&lt;0),$B$35*($C$35&lt;=0)+$C$36*($C$35&gt;0), ))</f>
        <v>#REF!</v>
      </c>
      <c r="J35" s="65" t="e">
        <f>$E$35+($F$35+$G$35+$H$35+$I$35)/2</f>
        <v>#REF!</v>
      </c>
      <c r="K35" s="65" t="e">
        <f>$F$35-$G$35-$H$35+$I$35</f>
        <v>#REF!</v>
      </c>
      <c r="L35" s="65"/>
      <c r="M35" s="65"/>
      <c r="N35" s="65"/>
      <c r="O35" s="46" t="e">
        <f>IF(NOT(($D$35)=""),"",$C$35+$B$35)</f>
        <v>#REF!</v>
      </c>
      <c r="P35" s="46" t="e">
        <f>IF(NOT(($D$35)=""),"",IF($B$35 &lt; 0,"",$B$35))</f>
        <v>#REF!</v>
      </c>
      <c r="Q35" s="46" t="e">
        <f>IF(NOT(($D$35)=""),"",IF($B$35&gt;=0,"",$B$35))</f>
        <v>#REF!</v>
      </c>
    </row>
    <row r="36" spans="1:17">
      <c r="B36" s="46" t="e">
        <f>#REF!</f>
        <v>#REF!</v>
      </c>
      <c r="C36" s="46" t="e">
        <f>IF(($D$35)="",$C$35+$B$35,$B$35)</f>
        <v>#REF!</v>
      </c>
      <c r="D36" s="65"/>
      <c r="E36" s="65" t="e">
        <f>IF(NOT(($D$36)=""), ,IF(-1=SIGN($C$36)*SIGN($C$37),,$C$36+$B$36*(-1=SIGN($C$36)*SIGN($B$36))))</f>
        <v>#REF!</v>
      </c>
      <c r="F36" s="65" t="e">
        <f>IF(NOT(($D$36)=""), ,IF(AND($B$36&gt;=0,$C$37&gt;0),$B$36*($C$36&gt;=0)+$C$37*($C$36&lt;0),))</f>
        <v>#REF!</v>
      </c>
      <c r="G36" s="65" t="e">
        <f>IF(NOT(($D$36)=""),,IF(AND($B$36&gt;=0,$C$36&lt;0),-$B$36*($C$37&lt;=0)+$C$36*($C$37&gt;0),))</f>
        <v>#REF!</v>
      </c>
      <c r="H36" s="65" t="e">
        <f>IF(NOT(($D$36)=""), ,IF(AND($B$36&lt;=0,$C$36&gt;0),-$B$36*($C$37&gt;=0)+$C$36*($C$37&lt;0), ))</f>
        <v>#REF!</v>
      </c>
      <c r="I36" s="65" t="e">
        <f>IF(NOT(($D$36)=""), ,IF(AND($B$36&lt;=0,$C$37&lt;0),$B$36*($C$36&lt;=0)+$C$37*($C$36&gt;0), ))</f>
        <v>#REF!</v>
      </c>
      <c r="J36" s="65" t="e">
        <f>$E$36+($F$36+$G$36+$H$36+$I$36)/2</f>
        <v>#REF!</v>
      </c>
      <c r="K36" s="65" t="e">
        <f>$F$36-$G$36-$H$36+$I$36</f>
        <v>#REF!</v>
      </c>
      <c r="L36" s="65"/>
      <c r="M36" s="65"/>
      <c r="N36" s="65"/>
      <c r="O36" s="46" t="e">
        <f>IF(NOT(($D$36)=""),"",$C$36+$B$36)</f>
        <v>#REF!</v>
      </c>
      <c r="P36" s="46" t="e">
        <f>IF(NOT(($D$36)=""),"",IF($B$36 &lt; 0,"",$B$36))</f>
        <v>#REF!</v>
      </c>
      <c r="Q36" s="46" t="e">
        <f>IF(NOT(($D$36)=""),"",IF($B$36&gt;=0,"",$B$36))</f>
        <v>#REF!</v>
      </c>
    </row>
    <row r="37" spans="1:17">
      <c r="B37" s="46" t="e">
        <f>#REF!</f>
        <v>#REF!</v>
      </c>
      <c r="C37" s="46" t="e">
        <f>IF(($D$36)="",$C$36+$B$36,$B$36)</f>
        <v>#REF!</v>
      </c>
      <c r="D37" s="65"/>
      <c r="E37" s="65" t="e">
        <f>IF(NOT(($D$37)=""), ,IF(-1=SIGN($C$37)*SIGN($C$38),,$C$37+$B$37*(-1=SIGN($C$37)*SIGN($B$37))))</f>
        <v>#REF!</v>
      </c>
      <c r="F37" s="65" t="e">
        <f>IF(NOT(($D$37)=""), ,IF(AND($B$37&gt;=0,$C$38&gt;0),$B$37*($C$37&gt;=0)+$C$38*($C$37&lt;0),))</f>
        <v>#REF!</v>
      </c>
      <c r="G37" s="65" t="e">
        <f>IF(NOT(($D$37)=""),,IF(AND($B$37&gt;=0,$C$37&lt;0),-$B$37*($C$38&lt;=0)+$C$37*($C$38&gt;0),))</f>
        <v>#REF!</v>
      </c>
      <c r="H37" s="65" t="e">
        <f>IF(NOT(($D$37)=""), ,IF(AND($B$37&lt;=0,$C$37&gt;0),-$B$37*($C$38&gt;=0)+$C$37*($C$38&lt;0), ))</f>
        <v>#REF!</v>
      </c>
      <c r="I37" s="65" t="e">
        <f>IF(NOT(($D$37)=""), ,IF(AND($B$37&lt;=0,$C$38&lt;0),$B$37*($C$37&lt;=0)+$C$38*($C$37&gt;0), ))</f>
        <v>#REF!</v>
      </c>
      <c r="J37" s="65" t="e">
        <f>$E$37+($F$37+$G$37+$H$37+$I$37)/2</f>
        <v>#REF!</v>
      </c>
      <c r="K37" s="65" t="e">
        <f>$F$37-$G$37-$H$37+$I$37</f>
        <v>#REF!</v>
      </c>
      <c r="L37" s="65"/>
      <c r="M37" s="65"/>
      <c r="N37" s="65"/>
      <c r="O37" s="46" t="e">
        <f>IF(NOT(($D$37)=""),"",$C$37+$B$37)</f>
        <v>#REF!</v>
      </c>
      <c r="P37" s="46" t="e">
        <f>IF(NOT(($D$37)=""),"",IF($B$37 &lt; 0,"",$B$37))</f>
        <v>#REF!</v>
      </c>
      <c r="Q37" s="46" t="e">
        <f>IF(NOT(($D$37)=""),"",IF($B$37&gt;=0,"",$B$37))</f>
        <v>#REF!</v>
      </c>
    </row>
    <row r="38" spans="1:17">
      <c r="B38" s="46" t="e">
        <f>#REF!</f>
        <v>#REF!</v>
      </c>
      <c r="C38" s="46" t="e">
        <f>IF(($D$37)="",$C$37+$B$37,$B$37)</f>
        <v>#REF!</v>
      </c>
      <c r="D38" s="65"/>
      <c r="E38" s="65" t="e">
        <f>IF(NOT(($D$38)=""), ,IF(-1=SIGN($C$38)*SIGN($C$39),,$C$38+$B$38*(-1=SIGN($C$38)*SIGN($B$38))))</f>
        <v>#REF!</v>
      </c>
      <c r="F38" s="65" t="e">
        <f>IF(NOT(($D$38)=""), ,IF(AND($B$38&gt;=0,$C$39&gt;0),$B$38*($C$38&gt;=0)+$C$39*($C$38&lt;0),))</f>
        <v>#REF!</v>
      </c>
      <c r="G38" s="65" t="e">
        <f>IF(NOT(($D$38)=""),,IF(AND($B$38&gt;=0,$C$38&lt;0),-$B$38*($C$39&lt;=0)+$C$38*($C$39&gt;0),))</f>
        <v>#REF!</v>
      </c>
      <c r="H38" s="65" t="e">
        <f>IF(NOT(($D$38)=""), ,IF(AND($B$38&lt;=0,$C$38&gt;0),-$B$38*($C$39&gt;=0)+$C$38*($C$39&lt;0), ))</f>
        <v>#REF!</v>
      </c>
      <c r="I38" s="65" t="e">
        <f>IF(NOT(($D$38)=""), ,IF(AND($B$38&lt;=0,$C$39&lt;0),$B$38*($C$38&lt;=0)+$C$39*($C$38&gt;0), ))</f>
        <v>#REF!</v>
      </c>
      <c r="J38" s="65" t="e">
        <f>$E$38+($F$38+$G$38+$H$38+$I$38)/2</f>
        <v>#REF!</v>
      </c>
      <c r="K38" s="65" t="e">
        <f>$F$38-$G$38-$H$38+$I$38</f>
        <v>#REF!</v>
      </c>
      <c r="L38" s="65"/>
      <c r="M38" s="65"/>
      <c r="N38" s="65"/>
      <c r="O38" s="46" t="e">
        <f>IF(NOT(($D$38)=""),"",$C$38+$B$38)</f>
        <v>#REF!</v>
      </c>
      <c r="P38" s="46" t="e">
        <f>IF(NOT(($D$38)=""),"",IF($B$38 &lt; 0,"",$B$38))</f>
        <v>#REF!</v>
      </c>
      <c r="Q38" s="46" t="e">
        <f>IF(NOT(($D$38)=""),"",IF($B$38&gt;=0,"",$B$38))</f>
        <v>#REF!</v>
      </c>
    </row>
    <row r="39" spans="1:17">
      <c r="B39" s="46" t="e">
        <f>#REF!</f>
        <v>#REF!</v>
      </c>
      <c r="C39" s="46" t="e">
        <f>IF(($D$38)="",$C$38+$B$38,$B$38)</f>
        <v>#REF!</v>
      </c>
      <c r="D39" s="65"/>
      <c r="E39" s="65" t="e">
        <f>IF(NOT(($D$39)=""), ,IF(-1=SIGN($C$39)*SIGN($C$40),,$C$39+$B$39*(-1=SIGN($C$39)*SIGN($B$39))))</f>
        <v>#REF!</v>
      </c>
      <c r="F39" s="65" t="e">
        <f>IF(NOT(($D$39)=""), ,IF(AND($B$39&gt;=0,$C$40&gt;0),$B$39*($C$39&gt;=0)+$C$40*($C$39&lt;0),))</f>
        <v>#REF!</v>
      </c>
      <c r="G39" s="65" t="e">
        <f>IF(NOT(($D$39)=""),,IF(AND($B$39&gt;=0,$C$39&lt;0),-$B$39*($C$40&lt;=0)+$C$39*($C$40&gt;0),))</f>
        <v>#REF!</v>
      </c>
      <c r="H39" s="65" t="e">
        <f>IF(NOT(($D$39)=""), ,IF(AND($B$39&lt;=0,$C$39&gt;0),-$B$39*($C$40&gt;=0)+$C$39*($C$40&lt;0), ))</f>
        <v>#REF!</v>
      </c>
      <c r="I39" s="65" t="e">
        <f>IF(NOT(($D$39)=""), ,IF(AND($B$39&lt;=0,$C$40&lt;0),$B$39*($C$39&lt;=0)+$C$40*($C$39&gt;0), ))</f>
        <v>#REF!</v>
      </c>
      <c r="J39" s="65" t="e">
        <f>$E$39+($F$39+$G$39+$H$39+$I$39)/2</f>
        <v>#REF!</v>
      </c>
      <c r="K39" s="65" t="e">
        <f>$F$39-$G$39-$H$39+$I$39</f>
        <v>#REF!</v>
      </c>
      <c r="L39" s="65"/>
      <c r="M39" s="65"/>
      <c r="N39" s="65"/>
      <c r="O39" s="46" t="e">
        <f>IF(NOT(($D$39)=""),"",$C$39+$B$39)</f>
        <v>#REF!</v>
      </c>
      <c r="P39" s="46" t="e">
        <f>IF(NOT(($D$39)=""),"",IF($B$39 &lt; 0,"",$B$39))</f>
        <v>#REF!</v>
      </c>
      <c r="Q39" s="46" t="e">
        <f>IF(NOT(($D$39)=""),"",IF($B$39&gt;=0,"",$B$39))</f>
        <v>#REF!</v>
      </c>
    </row>
    <row r="40" spans="1:17">
      <c r="B40" s="46" t="e">
        <f>#REF!</f>
        <v>#REF!</v>
      </c>
      <c r="C40" s="46" t="e">
        <f>IF(($D$39)="",$C$39+$B$39,$B$39)</f>
        <v>#REF!</v>
      </c>
      <c r="D40" s="65"/>
      <c r="E40" s="65" t="e">
        <f>IF(NOT(($D$40)=""), ,IF(-1=SIGN($C$40)*SIGN($C$41),,$C$40+$B$40*(-1=SIGN($C$40)*SIGN($B$40))))</f>
        <v>#REF!</v>
      </c>
      <c r="F40" s="65" t="e">
        <f>IF(NOT(($D$40)=""), ,IF(AND($B$40&gt;=0,$C$41&gt;0),$B$40*($C$40&gt;=0)+$C$41*($C$40&lt;0),))</f>
        <v>#REF!</v>
      </c>
      <c r="G40" s="65" t="e">
        <f>IF(NOT(($D$40)=""),,IF(AND($B$40&gt;=0,$C$40&lt;0),-$B$40*($C$41&lt;=0)+$C$40*($C$41&gt;0),))</f>
        <v>#REF!</v>
      </c>
      <c r="H40" s="65" t="e">
        <f>IF(NOT(($D$40)=""), ,IF(AND($B$40&lt;=0,$C$40&gt;0),-$B$40*($C$41&gt;=0)+$C$40*($C$41&lt;0), ))</f>
        <v>#REF!</v>
      </c>
      <c r="I40" s="65" t="e">
        <f>IF(NOT(($D$40)=""), ,IF(AND($B$40&lt;=0,$C$41&lt;0),$B$40*($C$40&lt;=0)+$C$41*($C$40&gt;0), ))</f>
        <v>#REF!</v>
      </c>
      <c r="J40" s="65" t="e">
        <f>$E$40+($F$40+$G$40+$H$40+$I$40)/2</f>
        <v>#REF!</v>
      </c>
      <c r="K40" s="65" t="e">
        <f>$F$40-$G$40-$H$40+$I$40</f>
        <v>#REF!</v>
      </c>
      <c r="L40" s="65"/>
      <c r="M40" s="65"/>
      <c r="N40" s="65"/>
      <c r="O40" s="46" t="e">
        <f>IF(NOT(($D$40)=""),"",$C$40+$B$40)</f>
        <v>#REF!</v>
      </c>
      <c r="P40" s="46" t="e">
        <f>IF(NOT(($D$40)=""),"",IF($B$40 &lt; 0,"",$B$40))</f>
        <v>#REF!</v>
      </c>
      <c r="Q40" s="46" t="e">
        <f>IF(NOT(($D$40)=""),"",IF($B$40&gt;=0,"",$B$40))</f>
        <v>#REF!</v>
      </c>
    </row>
    <row r="41" spans="1:17">
      <c r="B41" s="46" t="e">
        <f>#REF!</f>
        <v>#REF!</v>
      </c>
      <c r="C41" s="46" t="e">
        <f>IF(($D$40)="",$C$40+$B$40,$B$40)</f>
        <v>#REF!</v>
      </c>
      <c r="D41" s="65"/>
      <c r="E41" s="65" t="e">
        <f>IF(NOT(($D$41)=""), ,IF(-1=SIGN($C$41)*SIGN($C$42),,$C$41+$B$41*(-1=SIGN($C$41)*SIGN($B$41))))</f>
        <v>#REF!</v>
      </c>
      <c r="F41" s="65" t="e">
        <f>IF(NOT(($D$41)=""), ,IF(AND($B$41&gt;=0,$C$42&gt;0),$B$41*($C$41&gt;=0)+$C$42*($C$41&lt;0),))</f>
        <v>#REF!</v>
      </c>
      <c r="G41" s="65" t="e">
        <f>IF(NOT(($D$41)=""),,IF(AND($B$41&gt;=0,$C$41&lt;0),-$B$41*($C$42&lt;=0)+$C$41*($C$42&gt;0),))</f>
        <v>#REF!</v>
      </c>
      <c r="H41" s="65" t="e">
        <f>IF(NOT(($D$41)=""), ,IF(AND($B$41&lt;=0,$C$41&gt;0),-$B$41*($C$42&gt;=0)+$C$41*($C$42&lt;0), ))</f>
        <v>#REF!</v>
      </c>
      <c r="I41" s="65" t="e">
        <f>IF(NOT(($D$41)=""), ,IF(AND($B$41&lt;=0,$C$42&lt;0),$B$41*($C$41&lt;=0)+$C$42*($C$41&gt;0), ))</f>
        <v>#REF!</v>
      </c>
      <c r="J41" s="65" t="e">
        <f>$E$41+($F$41+$G$41+$H$41+$I$41)/2</f>
        <v>#REF!</v>
      </c>
      <c r="K41" s="65" t="e">
        <f>$F$41-$G$41-$H$41+$I$41</f>
        <v>#REF!</v>
      </c>
      <c r="L41" s="65"/>
      <c r="M41" s="65"/>
      <c r="N41" s="65"/>
      <c r="O41" s="46" t="e">
        <f>IF(NOT(($D$41)=""),"",$C$41+$B$41)</f>
        <v>#REF!</v>
      </c>
      <c r="P41" s="46" t="e">
        <f>IF(NOT(($D$41)=""),"",IF($B$41 &lt; 0,"",$B$41))</f>
        <v>#REF!</v>
      </c>
      <c r="Q41" s="46" t="e">
        <f>IF(NOT(($D$41)=""),"",IF($B$41&gt;=0,"",$B$41))</f>
        <v>#REF!</v>
      </c>
    </row>
    <row r="42" spans="1:17">
      <c r="B42" s="46" t="e">
        <f>#REF!</f>
        <v>#REF!</v>
      </c>
      <c r="C42" s="46" t="e">
        <f>IF(($D$41)="",$C$41+$B$41,$B$41)</f>
        <v>#REF!</v>
      </c>
      <c r="D42" s="65" t="e">
        <f>$B$42</f>
        <v>#REF!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46"/>
      <c r="P42" s="46"/>
      <c r="Q42" s="46"/>
    </row>
    <row r="44" spans="1:17">
      <c r="A44" s="45">
        <v>4</v>
      </c>
      <c r="B44" s="46" t="e">
        <f>#REF!</f>
        <v>#REF!</v>
      </c>
      <c r="C44" s="46"/>
      <c r="D44" s="65" t="e">
        <f>$B$44</f>
        <v>#REF!</v>
      </c>
      <c r="E44" s="65"/>
      <c r="F44" s="65"/>
      <c r="G44" s="65"/>
      <c r="H44" s="65"/>
      <c r="I44" s="65"/>
      <c r="J44" s="65"/>
      <c r="K44" s="65"/>
      <c r="L44" s="65" t="e">
        <f>IF(MAX($C$44:$C$56,$B$56)-MIN($C$44:$C$56,$B$56)=0,0,ROUNDDOWN(IF(MIN($C$44:$C$56,$B$56)&gt;0,MAX(0,MIN($C$44:$C$56,$B$56)-ABS(MAX($C$44:$C$56,$B$56)-MIN($C$44:$C$56,$B$56))/5),IF(MAX($C$44:$C$56,$B$56)&gt;0,0,MIN(0,MAX($C$44:$C$56,$B$56)+ABS(MAX($C$44:$C$56,$B$56)-MIN($C$44:$C$56,$B$56))/5)))/10^(INT(LOG10(MAX($C$44:$C$56,$B$56)-MIN($C$44:$C$56,$B$56)))),0)*10^(INT(LOG10(MAX($C$44:$C$56,$B$56)-MIN($C$44:$C$56,$B$56)))))</f>
        <v>#REF!</v>
      </c>
      <c r="M44" s="65"/>
      <c r="N44" s="65"/>
      <c r="O44" s="46"/>
      <c r="P44" s="46"/>
      <c r="Q44" s="46"/>
    </row>
    <row r="45" spans="1:17">
      <c r="B45" s="46" t="e">
        <f>#REF!</f>
        <v>#REF!</v>
      </c>
      <c r="C45" s="46" t="e">
        <f>$B$44</f>
        <v>#REF!</v>
      </c>
      <c r="D45" s="65"/>
      <c r="E45" s="65" t="e">
        <f>IF(NOT(($D$45)=""), ,IF(-1=SIGN($C$45)*SIGN($C$46),,$C$45+$B$45*(-1=SIGN($C$45)*SIGN($B$45))))</f>
        <v>#REF!</v>
      </c>
      <c r="F45" s="65" t="e">
        <f>IF(NOT(($D$45)=""), ,IF(AND($B$45&gt;=0,$C$46&gt;0),$B$45*($C$45&gt;=0)+$C$46*($C$45&lt;0),))</f>
        <v>#REF!</v>
      </c>
      <c r="G45" s="65" t="e">
        <f>IF(NOT(($D$45)=""),,IF(AND($B$45&gt;=0,$C$45&lt;0),-$B$45*($C$46&lt;=0)+$C$45*($C$46&gt;0),))</f>
        <v>#REF!</v>
      </c>
      <c r="H45" s="65" t="e">
        <f>IF(NOT(($D$45)=""), ,IF(AND($B$45&lt;=0,$C$45&gt;0),-$B$45*($C$46&gt;=0)+$C$45*($C$46&lt;0), ))</f>
        <v>#REF!</v>
      </c>
      <c r="I45" s="65" t="e">
        <f>IF(NOT(($D$45)=""), ,IF(AND($B$45&lt;=0,$C$46&lt;0),$B$45*($C$45&lt;=0)+$C$46*($C$45&gt;0), ))</f>
        <v>#REF!</v>
      </c>
      <c r="J45" s="65" t="e">
        <f>$E$45+($F$45+$G$45+$H$45+$I$45)/2</f>
        <v>#REF!</v>
      </c>
      <c r="K45" s="65" t="e">
        <f>$F$45-$G$45-$H$45+$I$45</f>
        <v>#REF!</v>
      </c>
      <c r="L45" s="65"/>
      <c r="M45" s="65"/>
      <c r="N45" s="65"/>
      <c r="O45" s="46" t="e">
        <f>IF(NOT(($D$45)=""),"",$C$45+$B$45)</f>
        <v>#REF!</v>
      </c>
      <c r="P45" s="46" t="e">
        <f>IF(NOT(($D$45)=""),"",IF($B$45 &lt; 0,"",$B$45))</f>
        <v>#REF!</v>
      </c>
      <c r="Q45" s="46" t="e">
        <f>IF(NOT(($D$45)=""),"",IF($B$45&gt;=0,"",$B$45))</f>
        <v>#REF!</v>
      </c>
    </row>
    <row r="46" spans="1:17">
      <c r="B46" s="46" t="e">
        <f>#REF!</f>
        <v>#REF!</v>
      </c>
      <c r="C46" s="46" t="e">
        <f>IF(($D$45)="",$C$45+$B$45,$B$45)</f>
        <v>#REF!</v>
      </c>
      <c r="D46" s="65"/>
      <c r="E46" s="65" t="e">
        <f>IF(NOT(($D$46)=""), ,IF(-1=SIGN($C$46)*SIGN($C$47),,$C$46+$B$46*(-1=SIGN($C$46)*SIGN($B$46))))</f>
        <v>#REF!</v>
      </c>
      <c r="F46" s="65" t="e">
        <f>IF(NOT(($D$46)=""), ,IF(AND($B$46&gt;=0,$C$47&gt;0),$B$46*($C$46&gt;=0)+$C$47*($C$46&lt;0),))</f>
        <v>#REF!</v>
      </c>
      <c r="G46" s="65" t="e">
        <f>IF(NOT(($D$46)=""),,IF(AND($B$46&gt;=0,$C$46&lt;0),-$B$46*($C$47&lt;=0)+$C$46*($C$47&gt;0),))</f>
        <v>#REF!</v>
      </c>
      <c r="H46" s="65" t="e">
        <f>IF(NOT(($D$46)=""), ,IF(AND($B$46&lt;=0,$C$46&gt;0),-$B$46*($C$47&gt;=0)+$C$46*($C$47&lt;0), ))</f>
        <v>#REF!</v>
      </c>
      <c r="I46" s="65" t="e">
        <f>IF(NOT(($D$46)=""), ,IF(AND($B$46&lt;=0,$C$47&lt;0),$B$46*($C$46&lt;=0)+$C$47*($C$46&gt;0), ))</f>
        <v>#REF!</v>
      </c>
      <c r="J46" s="65" t="e">
        <f>$E$46+($F$46+$G$46+$H$46+$I$46)/2</f>
        <v>#REF!</v>
      </c>
      <c r="K46" s="65" t="e">
        <f>$F$46-$G$46-$H$46+$I$46</f>
        <v>#REF!</v>
      </c>
      <c r="L46" s="65"/>
      <c r="M46" s="65"/>
      <c r="N46" s="65"/>
      <c r="O46" s="46" t="e">
        <f>IF(NOT(($D$46)=""),"",$C$46+$B$46)</f>
        <v>#REF!</v>
      </c>
      <c r="P46" s="46" t="e">
        <f>IF(NOT(($D$46)=""),"",IF($B$46 &lt; 0,"",$B$46))</f>
        <v>#REF!</v>
      </c>
      <c r="Q46" s="46" t="e">
        <f>IF(NOT(($D$46)=""),"",IF($B$46&gt;=0,"",$B$46))</f>
        <v>#REF!</v>
      </c>
    </row>
    <row r="47" spans="1:17">
      <c r="B47" s="46" t="e">
        <f>#REF!</f>
        <v>#REF!</v>
      </c>
      <c r="C47" s="46" t="e">
        <f>IF(($D$46)="",$C$46+$B$46,$B$46)</f>
        <v>#REF!</v>
      </c>
      <c r="D47" s="65"/>
      <c r="E47" s="65" t="e">
        <f>IF(NOT(($D$47)=""), ,IF(-1=SIGN($C$47)*SIGN($C$48),,$C$47+$B$47*(-1=SIGN($C$47)*SIGN($B$47))))</f>
        <v>#REF!</v>
      </c>
      <c r="F47" s="65" t="e">
        <f>IF(NOT(($D$47)=""), ,IF(AND($B$47&gt;=0,$C$48&gt;0),$B$47*($C$47&gt;=0)+$C$48*($C$47&lt;0),))</f>
        <v>#REF!</v>
      </c>
      <c r="G47" s="65" t="e">
        <f>IF(NOT(($D$47)=""),,IF(AND($B$47&gt;=0,$C$47&lt;0),-$B$47*($C$48&lt;=0)+$C$47*($C$48&gt;0),))</f>
        <v>#REF!</v>
      </c>
      <c r="H47" s="65" t="e">
        <f>IF(NOT(($D$47)=""), ,IF(AND($B$47&lt;=0,$C$47&gt;0),-$B$47*($C$48&gt;=0)+$C$47*($C$48&lt;0), ))</f>
        <v>#REF!</v>
      </c>
      <c r="I47" s="65" t="e">
        <f>IF(NOT(($D$47)=""), ,IF(AND($B$47&lt;=0,$C$48&lt;0),$B$47*($C$47&lt;=0)+$C$48*($C$47&gt;0), ))</f>
        <v>#REF!</v>
      </c>
      <c r="J47" s="65" t="e">
        <f>$E$47+($F$47+$G$47+$H$47+$I$47)/2</f>
        <v>#REF!</v>
      </c>
      <c r="K47" s="65" t="e">
        <f>$F$47-$G$47-$H$47+$I$47</f>
        <v>#REF!</v>
      </c>
      <c r="L47" s="65"/>
      <c r="M47" s="65"/>
      <c r="N47" s="65"/>
      <c r="O47" s="46" t="e">
        <f>IF(NOT(($D$47)=""),"",$C$47+$B$47)</f>
        <v>#REF!</v>
      </c>
      <c r="P47" s="46" t="e">
        <f>IF(NOT(($D$47)=""),"",IF($B$47 &lt; 0,"",$B$47))</f>
        <v>#REF!</v>
      </c>
      <c r="Q47" s="46" t="e">
        <f>IF(NOT(($D$47)=""),"",IF($B$47&gt;=0,"",$B$47))</f>
        <v>#REF!</v>
      </c>
    </row>
    <row r="48" spans="1:17">
      <c r="B48" s="46" t="e">
        <f>#REF!</f>
        <v>#REF!</v>
      </c>
      <c r="C48" s="46" t="e">
        <f>IF(($D$47)="",$C$47+$B$47,$B$47)</f>
        <v>#REF!</v>
      </c>
      <c r="D48" s="65"/>
      <c r="E48" s="65" t="e">
        <f>IF(NOT(($D$48)=""), ,IF(-1=SIGN($C$48)*SIGN($C$49),,$C$48+$B$48*(-1=SIGN($C$48)*SIGN($B$48))))</f>
        <v>#REF!</v>
      </c>
      <c r="F48" s="65" t="e">
        <f>IF(NOT(($D$48)=""), ,IF(AND($B$48&gt;=0,$C$49&gt;0),$B$48*($C$48&gt;=0)+$C$49*($C$48&lt;0),))</f>
        <v>#REF!</v>
      </c>
      <c r="G48" s="65" t="e">
        <f>IF(NOT(($D$48)=""),,IF(AND($B$48&gt;=0,$C$48&lt;0),-$B$48*($C$49&lt;=0)+$C$48*($C$49&gt;0),))</f>
        <v>#REF!</v>
      </c>
      <c r="H48" s="65" t="e">
        <f>IF(NOT(($D$48)=""), ,IF(AND($B$48&lt;=0,$C$48&gt;0),-$B$48*($C$49&gt;=0)+$C$48*($C$49&lt;0), ))</f>
        <v>#REF!</v>
      </c>
      <c r="I48" s="65" t="e">
        <f>IF(NOT(($D$48)=""), ,IF(AND($B$48&lt;=0,$C$49&lt;0),$B$48*($C$48&lt;=0)+$C$49*($C$48&gt;0), ))</f>
        <v>#REF!</v>
      </c>
      <c r="J48" s="65" t="e">
        <f>$E$48+($F$48+$G$48+$H$48+$I$48)/2</f>
        <v>#REF!</v>
      </c>
      <c r="K48" s="65" t="e">
        <f>$F$48-$G$48-$H$48+$I$48</f>
        <v>#REF!</v>
      </c>
      <c r="L48" s="65"/>
      <c r="M48" s="65"/>
      <c r="N48" s="65"/>
      <c r="O48" s="46" t="e">
        <f>IF(NOT(($D$48)=""),"",$C$48+$B$48)</f>
        <v>#REF!</v>
      </c>
      <c r="P48" s="46" t="e">
        <f>IF(NOT(($D$48)=""),"",IF($B$48 &lt; 0,"",$B$48))</f>
        <v>#REF!</v>
      </c>
      <c r="Q48" s="46" t="e">
        <f>IF(NOT(($D$48)=""),"",IF($B$48&gt;=0,"",$B$48))</f>
        <v>#REF!</v>
      </c>
    </row>
    <row r="49" spans="1:17">
      <c r="B49" s="46" t="e">
        <f>#REF!</f>
        <v>#REF!</v>
      </c>
      <c r="C49" s="46" t="e">
        <f>IF(($D$48)="",$C$48+$B$48,$B$48)</f>
        <v>#REF!</v>
      </c>
      <c r="D49" s="65"/>
      <c r="E49" s="65" t="e">
        <f>IF(NOT(($D$49)=""), ,IF(-1=SIGN($C$49)*SIGN($C$50),,$C$49+$B$49*(-1=SIGN($C$49)*SIGN($B$49))))</f>
        <v>#REF!</v>
      </c>
      <c r="F49" s="65" t="e">
        <f>IF(NOT(($D$49)=""), ,IF(AND($B$49&gt;=0,$C$50&gt;0),$B$49*($C$49&gt;=0)+$C$50*($C$49&lt;0),))</f>
        <v>#REF!</v>
      </c>
      <c r="G49" s="65" t="e">
        <f>IF(NOT(($D$49)=""),,IF(AND($B$49&gt;=0,$C$49&lt;0),-$B$49*($C$50&lt;=0)+$C$49*($C$50&gt;0),))</f>
        <v>#REF!</v>
      </c>
      <c r="H49" s="65" t="e">
        <f>IF(NOT(($D$49)=""), ,IF(AND($B$49&lt;=0,$C$49&gt;0),-$B$49*($C$50&gt;=0)+$C$49*($C$50&lt;0), ))</f>
        <v>#REF!</v>
      </c>
      <c r="I49" s="65" t="e">
        <f>IF(NOT(($D$49)=""), ,IF(AND($B$49&lt;=0,$C$50&lt;0),$B$49*($C$49&lt;=0)+$C$50*($C$49&gt;0), ))</f>
        <v>#REF!</v>
      </c>
      <c r="J49" s="65" t="e">
        <f>$E$49+($F$49+$G$49+$H$49+$I$49)/2</f>
        <v>#REF!</v>
      </c>
      <c r="K49" s="65" t="e">
        <f>$F$49-$G$49-$H$49+$I$49</f>
        <v>#REF!</v>
      </c>
      <c r="L49" s="65"/>
      <c r="M49" s="65"/>
      <c r="N49" s="65"/>
      <c r="O49" s="46" t="e">
        <f>IF(NOT(($D$49)=""),"",$C$49+$B$49)</f>
        <v>#REF!</v>
      </c>
      <c r="P49" s="46" t="e">
        <f>IF(NOT(($D$49)=""),"",IF($B$49 &lt; 0,"",$B$49))</f>
        <v>#REF!</v>
      </c>
      <c r="Q49" s="46" t="e">
        <f>IF(NOT(($D$49)=""),"",IF($B$49&gt;=0,"",$B$49))</f>
        <v>#REF!</v>
      </c>
    </row>
    <row r="50" spans="1:17">
      <c r="B50" s="46" t="e">
        <f>#REF!</f>
        <v>#REF!</v>
      </c>
      <c r="C50" s="46" t="e">
        <f>IF(($D$49)="",$C$49+$B$49,$B$49)</f>
        <v>#REF!</v>
      </c>
      <c r="D50" s="65"/>
      <c r="E50" s="65" t="e">
        <f>IF(NOT(($D$50)=""), ,IF(-1=SIGN($C$50)*SIGN($C$51),,$C$50+$B$50*(-1=SIGN($C$50)*SIGN($B$50))))</f>
        <v>#REF!</v>
      </c>
      <c r="F50" s="65" t="e">
        <f>IF(NOT(($D$50)=""), ,IF(AND($B$50&gt;=0,$C$51&gt;0),$B$50*($C$50&gt;=0)+$C$51*($C$50&lt;0),))</f>
        <v>#REF!</v>
      </c>
      <c r="G50" s="65" t="e">
        <f>IF(NOT(($D$50)=""),,IF(AND($B$50&gt;=0,$C$50&lt;0),-$B$50*($C$51&lt;=0)+$C$50*($C$51&gt;0),))</f>
        <v>#REF!</v>
      </c>
      <c r="H50" s="65" t="e">
        <f>IF(NOT(($D$50)=""), ,IF(AND($B$50&lt;=0,$C$50&gt;0),-$B$50*($C$51&gt;=0)+$C$50*($C$51&lt;0), ))</f>
        <v>#REF!</v>
      </c>
      <c r="I50" s="65" t="e">
        <f>IF(NOT(($D$50)=""), ,IF(AND($B$50&lt;=0,$C$51&lt;0),$B$50*($C$50&lt;=0)+$C$51*($C$50&gt;0), ))</f>
        <v>#REF!</v>
      </c>
      <c r="J50" s="65" t="e">
        <f>$E$50+($F$50+$G$50+$H$50+$I$50)/2</f>
        <v>#REF!</v>
      </c>
      <c r="K50" s="65" t="e">
        <f>$F$50-$G$50-$H$50+$I$50</f>
        <v>#REF!</v>
      </c>
      <c r="L50" s="65"/>
      <c r="M50" s="65"/>
      <c r="N50" s="65"/>
      <c r="O50" s="46" t="e">
        <f>IF(NOT(($D$50)=""),"",$C$50+$B$50)</f>
        <v>#REF!</v>
      </c>
      <c r="P50" s="46" t="e">
        <f>IF(NOT(($D$50)=""),"",IF($B$50 &lt; 0,"",$B$50))</f>
        <v>#REF!</v>
      </c>
      <c r="Q50" s="46" t="e">
        <f>IF(NOT(($D$50)=""),"",IF($B$50&gt;=0,"",$B$50))</f>
        <v>#REF!</v>
      </c>
    </row>
    <row r="51" spans="1:17">
      <c r="B51" s="46" t="e">
        <f>#REF!</f>
        <v>#REF!</v>
      </c>
      <c r="C51" s="46" t="e">
        <f>IF(($D$50)="",$C$50+$B$50,$B$50)</f>
        <v>#REF!</v>
      </c>
      <c r="D51" s="65"/>
      <c r="E51" s="65" t="e">
        <f>IF(NOT(($D$51)=""), ,IF(-1=SIGN($C$51)*SIGN($C$52),,$C$51+$B$51*(-1=SIGN($C$51)*SIGN($B$51))))</f>
        <v>#REF!</v>
      </c>
      <c r="F51" s="65" t="e">
        <f>IF(NOT(($D$51)=""), ,IF(AND($B$51&gt;=0,$C$52&gt;0),$B$51*($C$51&gt;=0)+$C$52*($C$51&lt;0),))</f>
        <v>#REF!</v>
      </c>
      <c r="G51" s="65" t="e">
        <f>IF(NOT(($D$51)=""),,IF(AND($B$51&gt;=0,$C$51&lt;0),-$B$51*($C$52&lt;=0)+$C$51*($C$52&gt;0),))</f>
        <v>#REF!</v>
      </c>
      <c r="H51" s="65" t="e">
        <f>IF(NOT(($D$51)=""), ,IF(AND($B$51&lt;=0,$C$51&gt;0),-$B$51*($C$52&gt;=0)+$C$51*($C$52&lt;0), ))</f>
        <v>#REF!</v>
      </c>
      <c r="I51" s="65" t="e">
        <f>IF(NOT(($D$51)=""), ,IF(AND($B$51&lt;=0,$C$52&lt;0),$B$51*($C$51&lt;=0)+$C$52*($C$51&gt;0), ))</f>
        <v>#REF!</v>
      </c>
      <c r="J51" s="65" t="e">
        <f>$E$51+($F$51+$G$51+$H$51+$I$51)/2</f>
        <v>#REF!</v>
      </c>
      <c r="K51" s="65" t="e">
        <f>$F$51-$G$51-$H$51+$I$51</f>
        <v>#REF!</v>
      </c>
      <c r="L51" s="65"/>
      <c r="M51" s="65"/>
      <c r="N51" s="65"/>
      <c r="O51" s="46" t="e">
        <f>IF(NOT(($D$51)=""),"",$C$51+$B$51)</f>
        <v>#REF!</v>
      </c>
      <c r="P51" s="46" t="e">
        <f>IF(NOT(($D$51)=""),"",IF($B$51 &lt; 0,"",$B$51))</f>
        <v>#REF!</v>
      </c>
      <c r="Q51" s="46" t="e">
        <f>IF(NOT(($D$51)=""),"",IF($B$51&gt;=0,"",$B$51))</f>
        <v>#REF!</v>
      </c>
    </row>
    <row r="52" spans="1:17">
      <c r="B52" s="46" t="e">
        <f>#REF!</f>
        <v>#REF!</v>
      </c>
      <c r="C52" s="46" t="e">
        <f>IF(($D$51)="",$C$51+$B$51,$B$51)</f>
        <v>#REF!</v>
      </c>
      <c r="D52" s="65"/>
      <c r="E52" s="65" t="e">
        <f>IF(NOT(($D$52)=""), ,IF(-1=SIGN($C$52)*SIGN($C$53),,$C$52+$B$52*(-1=SIGN($C$52)*SIGN($B$52))))</f>
        <v>#REF!</v>
      </c>
      <c r="F52" s="65" t="e">
        <f>IF(NOT(($D$52)=""), ,IF(AND($B$52&gt;=0,$C$53&gt;0),$B$52*($C$52&gt;=0)+$C$53*($C$52&lt;0),))</f>
        <v>#REF!</v>
      </c>
      <c r="G52" s="65" t="e">
        <f>IF(NOT(($D$52)=""),,IF(AND($B$52&gt;=0,$C$52&lt;0),-$B$52*($C$53&lt;=0)+$C$52*($C$53&gt;0),))</f>
        <v>#REF!</v>
      </c>
      <c r="H52" s="65" t="e">
        <f>IF(NOT(($D$52)=""), ,IF(AND($B$52&lt;=0,$C$52&gt;0),-$B$52*($C$53&gt;=0)+$C$52*($C$53&lt;0), ))</f>
        <v>#REF!</v>
      </c>
      <c r="I52" s="65" t="e">
        <f>IF(NOT(($D$52)=""), ,IF(AND($B$52&lt;=0,$C$53&lt;0),$B$52*($C$52&lt;=0)+$C$53*($C$52&gt;0), ))</f>
        <v>#REF!</v>
      </c>
      <c r="J52" s="65" t="e">
        <f>$E$52+($F$52+$G$52+$H$52+$I$52)/2</f>
        <v>#REF!</v>
      </c>
      <c r="K52" s="65" t="e">
        <f>$F$52-$G$52-$H$52+$I$52</f>
        <v>#REF!</v>
      </c>
      <c r="L52" s="65"/>
      <c r="M52" s="65"/>
      <c r="N52" s="65"/>
      <c r="O52" s="46" t="e">
        <f>IF(NOT(($D$52)=""),"",$C$52+$B$52)</f>
        <v>#REF!</v>
      </c>
      <c r="P52" s="46" t="e">
        <f>IF(NOT(($D$52)=""),"",IF($B$52 &lt; 0,"",$B$52))</f>
        <v>#REF!</v>
      </c>
      <c r="Q52" s="46" t="e">
        <f>IF(NOT(($D$52)=""),"",IF($B$52&gt;=0,"",$B$52))</f>
        <v>#REF!</v>
      </c>
    </row>
    <row r="53" spans="1:17">
      <c r="B53" s="46" t="e">
        <f>#REF!</f>
        <v>#REF!</v>
      </c>
      <c r="C53" s="46" t="e">
        <f>IF(($D$52)="",$C$52+$B$52,$B$52)</f>
        <v>#REF!</v>
      </c>
      <c r="D53" s="65"/>
      <c r="E53" s="65" t="e">
        <f>IF(NOT(($D$53)=""), ,IF(-1=SIGN($C$53)*SIGN($C$54),,$C$53+$B$53*(-1=SIGN($C$53)*SIGN($B$53))))</f>
        <v>#REF!</v>
      </c>
      <c r="F53" s="65" t="e">
        <f>IF(NOT(($D$53)=""), ,IF(AND($B$53&gt;=0,$C$54&gt;0),$B$53*($C$53&gt;=0)+$C$54*($C$53&lt;0),))</f>
        <v>#REF!</v>
      </c>
      <c r="G53" s="65" t="e">
        <f>IF(NOT(($D$53)=""),,IF(AND($B$53&gt;=0,$C$53&lt;0),-$B$53*($C$54&lt;=0)+$C$53*($C$54&gt;0),))</f>
        <v>#REF!</v>
      </c>
      <c r="H53" s="65" t="e">
        <f>IF(NOT(($D$53)=""), ,IF(AND($B$53&lt;=0,$C$53&gt;0),-$B$53*($C$54&gt;=0)+$C$53*($C$54&lt;0), ))</f>
        <v>#REF!</v>
      </c>
      <c r="I53" s="65" t="e">
        <f>IF(NOT(($D$53)=""), ,IF(AND($B$53&lt;=0,$C$54&lt;0),$B$53*($C$53&lt;=0)+$C$54*($C$53&gt;0), ))</f>
        <v>#REF!</v>
      </c>
      <c r="J53" s="65" t="e">
        <f>$E$53+($F$53+$G$53+$H$53+$I$53)/2</f>
        <v>#REF!</v>
      </c>
      <c r="K53" s="65" t="e">
        <f>$F$53-$G$53-$H$53+$I$53</f>
        <v>#REF!</v>
      </c>
      <c r="L53" s="65"/>
      <c r="M53" s="65"/>
      <c r="N53" s="65"/>
      <c r="O53" s="46" t="e">
        <f>IF(NOT(($D$53)=""),"",$C$53+$B$53)</f>
        <v>#REF!</v>
      </c>
      <c r="P53" s="46" t="e">
        <f>IF(NOT(($D$53)=""),"",IF($B$53 &lt; 0,"",$B$53))</f>
        <v>#REF!</v>
      </c>
      <c r="Q53" s="46" t="e">
        <f>IF(NOT(($D$53)=""),"",IF($B$53&gt;=0,"",$B$53))</f>
        <v>#REF!</v>
      </c>
    </row>
    <row r="54" spans="1:17">
      <c r="B54" s="46" t="e">
        <f>#REF!</f>
        <v>#REF!</v>
      </c>
      <c r="C54" s="46" t="e">
        <f>IF(($D$53)="",$C$53+$B$53,$B$53)</f>
        <v>#REF!</v>
      </c>
      <c r="D54" s="65"/>
      <c r="E54" s="65" t="e">
        <f>IF(NOT(($D$54)=""), ,IF(-1=SIGN($C$54)*SIGN($C$55),,$C$54+$B$54*(-1=SIGN($C$54)*SIGN($B$54))))</f>
        <v>#REF!</v>
      </c>
      <c r="F54" s="65" t="e">
        <f>IF(NOT(($D$54)=""), ,IF(AND($B$54&gt;=0,$C$55&gt;0),$B$54*($C$54&gt;=0)+$C$55*($C$54&lt;0),))</f>
        <v>#REF!</v>
      </c>
      <c r="G54" s="65" t="e">
        <f>IF(NOT(($D$54)=""),,IF(AND($B$54&gt;=0,$C$54&lt;0),-$B$54*($C$55&lt;=0)+$C$54*($C$55&gt;0),))</f>
        <v>#REF!</v>
      </c>
      <c r="H54" s="65" t="e">
        <f>IF(NOT(($D$54)=""), ,IF(AND($B$54&lt;=0,$C$54&gt;0),-$B$54*($C$55&gt;=0)+$C$54*($C$55&lt;0), ))</f>
        <v>#REF!</v>
      </c>
      <c r="I54" s="65" t="e">
        <f>IF(NOT(($D$54)=""), ,IF(AND($B$54&lt;=0,$C$55&lt;0),$B$54*($C$54&lt;=0)+$C$55*($C$54&gt;0), ))</f>
        <v>#REF!</v>
      </c>
      <c r="J54" s="65" t="e">
        <f>$E$54+($F$54+$G$54+$H$54+$I$54)/2</f>
        <v>#REF!</v>
      </c>
      <c r="K54" s="65" t="e">
        <f>$F$54-$G$54-$H$54+$I$54</f>
        <v>#REF!</v>
      </c>
      <c r="L54" s="65"/>
      <c r="M54" s="65"/>
      <c r="N54" s="65"/>
      <c r="O54" s="46" t="e">
        <f>IF(NOT(($D$54)=""),"",$C$54+$B$54)</f>
        <v>#REF!</v>
      </c>
      <c r="P54" s="46" t="e">
        <f>IF(NOT(($D$54)=""),"",IF($B$54 &lt; 0,"",$B$54))</f>
        <v>#REF!</v>
      </c>
      <c r="Q54" s="46" t="e">
        <f>IF(NOT(($D$54)=""),"",IF($B$54&gt;=0,"",$B$54))</f>
        <v>#REF!</v>
      </c>
    </row>
    <row r="55" spans="1:17">
      <c r="B55" s="46" t="e">
        <f>#REF!</f>
        <v>#REF!</v>
      </c>
      <c r="C55" s="46" t="e">
        <f>IF(($D$54)="",$C$54+$B$54,$B$54)</f>
        <v>#REF!</v>
      </c>
      <c r="D55" s="65"/>
      <c r="E55" s="65" t="e">
        <f>IF(NOT(($D$55)=""), ,IF(-1=SIGN($C$55)*SIGN($C$56),,$C$55+$B$55*(-1=SIGN($C$55)*SIGN($B$55))))</f>
        <v>#REF!</v>
      </c>
      <c r="F55" s="65" t="e">
        <f>IF(NOT(($D$55)=""), ,IF(AND($B$55&gt;=0,$C$56&gt;0),$B$55*($C$55&gt;=0)+$C$56*($C$55&lt;0),))</f>
        <v>#REF!</v>
      </c>
      <c r="G55" s="65" t="e">
        <f>IF(NOT(($D$55)=""),,IF(AND($B$55&gt;=0,$C$55&lt;0),-$B$55*($C$56&lt;=0)+$C$55*($C$56&gt;0),))</f>
        <v>#REF!</v>
      </c>
      <c r="H55" s="65" t="e">
        <f>IF(NOT(($D$55)=""), ,IF(AND($B$55&lt;=0,$C$55&gt;0),-$B$55*($C$56&gt;=0)+$C$55*($C$56&lt;0), ))</f>
        <v>#REF!</v>
      </c>
      <c r="I55" s="65" t="e">
        <f>IF(NOT(($D$55)=""), ,IF(AND($B$55&lt;=0,$C$56&lt;0),$B$55*($C$55&lt;=0)+$C$56*($C$55&gt;0), ))</f>
        <v>#REF!</v>
      </c>
      <c r="J55" s="65" t="e">
        <f>$E$55+($F$55+$G$55+$H$55+$I$55)/2</f>
        <v>#REF!</v>
      </c>
      <c r="K55" s="65" t="e">
        <f>$F$55-$G$55-$H$55+$I$55</f>
        <v>#REF!</v>
      </c>
      <c r="L55" s="65"/>
      <c r="M55" s="65"/>
      <c r="N55" s="65"/>
      <c r="O55" s="46" t="e">
        <f>IF(NOT(($D$55)=""),"",$C$55+$B$55)</f>
        <v>#REF!</v>
      </c>
      <c r="P55" s="46" t="e">
        <f>IF(NOT(($D$55)=""),"",IF($B$55 &lt; 0,"",$B$55))</f>
        <v>#REF!</v>
      </c>
      <c r="Q55" s="46" t="e">
        <f>IF(NOT(($D$55)=""),"",IF($B$55&gt;=0,"",$B$55))</f>
        <v>#REF!</v>
      </c>
    </row>
    <row r="56" spans="1:17">
      <c r="B56" s="46" t="e">
        <f>#REF!</f>
        <v>#REF!</v>
      </c>
      <c r="C56" s="46" t="e">
        <f>IF(($D$55)="",$C$55+$B$55,$B$55)</f>
        <v>#REF!</v>
      </c>
      <c r="D56" s="65" t="e">
        <f>$B$56</f>
        <v>#REF!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46"/>
      <c r="P56" s="46"/>
      <c r="Q56" s="46"/>
    </row>
    <row r="58" spans="1:17">
      <c r="A58" s="45">
        <v>5</v>
      </c>
      <c r="B58" s="47" t="e">
        <f>#REF!</f>
        <v>#REF!</v>
      </c>
      <c r="C58" s="47"/>
      <c r="D58" s="65" t="e">
        <f>$B$58</f>
        <v>#REF!</v>
      </c>
      <c r="E58" s="65"/>
      <c r="F58" s="65"/>
      <c r="G58" s="65"/>
      <c r="H58" s="65"/>
      <c r="I58" s="65"/>
      <c r="J58" s="65"/>
      <c r="K58" s="65"/>
      <c r="L58" s="65" t="e">
        <f>IF(MAX($C$58:$C$73,$B$73)-MIN($C$58:$C$73,$B$73)=0,0,ROUNDDOWN(IF(MIN($C$58:$C$73,$B$73)&gt;0,MAX(0,MIN($C$58:$C$73,$B$73)-ABS(MAX($C$58:$C$73,$B$73)-MIN($C$58:$C$73,$B$73))/5),IF(MAX($C$58:$C$73,$B$73)&gt;0,0,MIN(0,MAX($C$58:$C$73,$B$73)+ABS(MAX($C$58:$C$73,$B$73)-MIN($C$58:$C$73,$B$73))/5)))/10^(INT(LOG10(MAX($C$58:$C$73,$B$73)-MIN($C$58:$C$73,$B$73)))),0)*10^(INT(LOG10(MAX($C$58:$C$73,$B$73)-MIN($C$58:$C$73,$B$73)))))</f>
        <v>#REF!</v>
      </c>
      <c r="M58" s="65"/>
      <c r="N58" s="65"/>
      <c r="O58" s="47"/>
      <c r="P58" s="47"/>
      <c r="Q58" s="47"/>
    </row>
    <row r="59" spans="1:17">
      <c r="B59" s="47" t="e">
        <f>#REF!</f>
        <v>#REF!</v>
      </c>
      <c r="C59" s="47" t="e">
        <f>$B$58</f>
        <v>#REF!</v>
      </c>
      <c r="D59" s="65"/>
      <c r="E59" s="65" t="e">
        <f>IF(NOT(($D$59)=""), ,IF(-1=SIGN($C$59)*SIGN($C$60),,$C$59+$B$59*(-1=SIGN($C$59)*SIGN($B$59))))</f>
        <v>#REF!</v>
      </c>
      <c r="F59" s="65" t="e">
        <f>IF(NOT(($D$59)=""), ,IF(AND($B$59&gt;=0,$C$60&gt;0),$B$59*($C$59&gt;=0)+$C$60*($C$59&lt;0),))</f>
        <v>#REF!</v>
      </c>
      <c r="G59" s="65" t="e">
        <f>IF(NOT(($D$59)=""),,IF(AND($B$59&gt;=0,$C$59&lt;0),-$B$59*($C$60&lt;=0)+$C$59*($C$60&gt;0),))</f>
        <v>#REF!</v>
      </c>
      <c r="H59" s="65" t="e">
        <f>IF(NOT(($D$59)=""), ,IF(AND($B$59&lt;=0,$C$59&gt;0),-$B$59*($C$60&gt;=0)+$C$59*($C$60&lt;0), ))</f>
        <v>#REF!</v>
      </c>
      <c r="I59" s="65" t="e">
        <f>IF(NOT(($D$59)=""), ,IF(AND($B$59&lt;=0,$C$60&lt;0),$B$59*($C$59&lt;=0)+$C$60*($C$59&gt;0), ))</f>
        <v>#REF!</v>
      </c>
      <c r="J59" s="65" t="e">
        <f>$E$59+($F$59+$G$59+$H$59+$I$59)/2</f>
        <v>#REF!</v>
      </c>
      <c r="K59" s="65" t="e">
        <f>$F$59-$G$59-$H$59+$I$59</f>
        <v>#REF!</v>
      </c>
      <c r="L59" s="65"/>
      <c r="M59" s="65"/>
      <c r="N59" s="65"/>
      <c r="O59" s="47" t="e">
        <f>IF(NOT(($D$59)=""),"",$C$59+$B$59)</f>
        <v>#REF!</v>
      </c>
      <c r="P59" s="47" t="e">
        <f>IF(NOT(($D$59)=""),"",IF($B$59 &lt; 0,"",$B$59))</f>
        <v>#REF!</v>
      </c>
      <c r="Q59" s="47" t="e">
        <f>IF(NOT(($D$59)=""),"",IF($B$59&gt;=0,"",$B$59))</f>
        <v>#REF!</v>
      </c>
    </row>
    <row r="60" spans="1:17">
      <c r="B60" s="47" t="e">
        <f>#REF!</f>
        <v>#REF!</v>
      </c>
      <c r="C60" s="47" t="e">
        <f>IF(($D$59)="",$C$59+$B$59,$B$59)</f>
        <v>#REF!</v>
      </c>
      <c r="D60" s="65"/>
      <c r="E60" s="65" t="e">
        <f>IF(NOT(($D$60)=""), ,IF(-1=SIGN($C$60)*SIGN($C$61),,$C$60+$B$60*(-1=SIGN($C$60)*SIGN($B$60))))</f>
        <v>#REF!</v>
      </c>
      <c r="F60" s="65" t="e">
        <f>IF(NOT(($D$60)=""), ,IF(AND($B$60&gt;=0,$C$61&gt;0),$B$60*($C$60&gt;=0)+$C$61*($C$60&lt;0),))</f>
        <v>#REF!</v>
      </c>
      <c r="G60" s="65" t="e">
        <f>IF(NOT(($D$60)=""),,IF(AND($B$60&gt;=0,$C$60&lt;0),-$B$60*($C$61&lt;=0)+$C$60*($C$61&gt;0),))</f>
        <v>#REF!</v>
      </c>
      <c r="H60" s="65" t="e">
        <f>IF(NOT(($D$60)=""), ,IF(AND($B$60&lt;=0,$C$60&gt;0),-$B$60*($C$61&gt;=0)+$C$60*($C$61&lt;0), ))</f>
        <v>#REF!</v>
      </c>
      <c r="I60" s="65" t="e">
        <f>IF(NOT(($D$60)=""), ,IF(AND($B$60&lt;=0,$C$61&lt;0),$B$60*($C$60&lt;=0)+$C$61*($C$60&gt;0), ))</f>
        <v>#REF!</v>
      </c>
      <c r="J60" s="65" t="e">
        <f>$E$60+($F$60+$G$60+$H$60+$I$60)/2</f>
        <v>#REF!</v>
      </c>
      <c r="K60" s="65" t="e">
        <f>$F$60-$G$60-$H$60+$I$60</f>
        <v>#REF!</v>
      </c>
      <c r="L60" s="65"/>
      <c r="M60" s="65"/>
      <c r="N60" s="65"/>
      <c r="O60" s="47" t="e">
        <f>IF(NOT(($D$60)=""),"",$C$60+$B$60)</f>
        <v>#REF!</v>
      </c>
      <c r="P60" s="47" t="e">
        <f>IF(NOT(($D$60)=""),"",IF($B$60 &lt; 0,"",$B$60))</f>
        <v>#REF!</v>
      </c>
      <c r="Q60" s="47" t="e">
        <f>IF(NOT(($D$60)=""),"",IF($B$60&gt;=0,"",$B$60))</f>
        <v>#REF!</v>
      </c>
    </row>
    <row r="61" spans="1:17">
      <c r="B61" s="47" t="e">
        <f>#REF!</f>
        <v>#REF!</v>
      </c>
      <c r="C61" s="47" t="e">
        <f>IF(($D$60)="",$C$60+$B$60,$B$60)</f>
        <v>#REF!</v>
      </c>
      <c r="D61" s="65"/>
      <c r="E61" s="65" t="e">
        <f>IF(NOT(($D$61)=""), ,IF(-1=SIGN($C$61)*SIGN($C$62),,$C$61+$B$61*(-1=SIGN($C$61)*SIGN($B$61))))</f>
        <v>#REF!</v>
      </c>
      <c r="F61" s="65" t="e">
        <f>IF(NOT(($D$61)=""), ,IF(AND($B$61&gt;=0,$C$62&gt;0),$B$61*($C$61&gt;=0)+$C$62*($C$61&lt;0),))</f>
        <v>#REF!</v>
      </c>
      <c r="G61" s="65" t="e">
        <f>IF(NOT(($D$61)=""),,IF(AND($B$61&gt;=0,$C$61&lt;0),-$B$61*($C$62&lt;=0)+$C$61*($C$62&gt;0),))</f>
        <v>#REF!</v>
      </c>
      <c r="H61" s="65" t="e">
        <f>IF(NOT(($D$61)=""), ,IF(AND($B$61&lt;=0,$C$61&gt;0),-$B$61*($C$62&gt;=0)+$C$61*($C$62&lt;0), ))</f>
        <v>#REF!</v>
      </c>
      <c r="I61" s="65" t="e">
        <f>IF(NOT(($D$61)=""), ,IF(AND($B$61&lt;=0,$C$62&lt;0),$B$61*($C$61&lt;=0)+$C$62*($C$61&gt;0), ))</f>
        <v>#REF!</v>
      </c>
      <c r="J61" s="65" t="e">
        <f>$E$61+($F$61+$G$61+$H$61+$I$61)/2</f>
        <v>#REF!</v>
      </c>
      <c r="K61" s="65" t="e">
        <f>$F$61-$G$61-$H$61+$I$61</f>
        <v>#REF!</v>
      </c>
      <c r="L61" s="65"/>
      <c r="M61" s="65"/>
      <c r="N61" s="65"/>
      <c r="O61" s="47" t="e">
        <f>IF(NOT(($D$61)=""),"",$C$61+$B$61)</f>
        <v>#REF!</v>
      </c>
      <c r="P61" s="47" t="e">
        <f>IF(NOT(($D$61)=""),"",IF($B$61 &lt; 0,"",$B$61))</f>
        <v>#REF!</v>
      </c>
      <c r="Q61" s="47" t="e">
        <f>IF(NOT(($D$61)=""),"",IF($B$61&gt;=0,"",$B$61))</f>
        <v>#REF!</v>
      </c>
    </row>
    <row r="62" spans="1:17">
      <c r="B62" s="47" t="e">
        <f>#REF!</f>
        <v>#REF!</v>
      </c>
      <c r="C62" s="47" t="e">
        <f>IF(($D$61)="",$C$61+$B$61,$B$61)</f>
        <v>#REF!</v>
      </c>
      <c r="D62" s="65" t="e">
        <f>$B$62</f>
        <v>#REF!</v>
      </c>
      <c r="E62" s="65" t="e">
        <f>IF(NOT(($D$62)=""), ,IF(-1=SIGN($C$62)*SIGN($C$63),,$C$62+$B$62*(-1=SIGN($C$62)*SIGN($B$62))))</f>
        <v>#REF!</v>
      </c>
      <c r="F62" s="65" t="e">
        <f>IF(NOT(($D$62)=""), ,IF(AND($B$62&gt;=0,$C$63&gt;0),$B$62*($C$62&gt;=0)+$C$63*($C$62&lt;0),))</f>
        <v>#REF!</v>
      </c>
      <c r="G62" s="65" t="e">
        <f>IF(NOT(($D$62)=""),,IF(AND($B$62&gt;=0,$C$62&lt;0),-$B$62*($C$63&lt;=0)+$C$62*($C$63&gt;0),))</f>
        <v>#REF!</v>
      </c>
      <c r="H62" s="65" t="e">
        <f>IF(NOT(($D$62)=""), ,IF(AND($B$62&lt;=0,$C$62&gt;0),-$B$62*($C$63&gt;=0)+$C$62*($C$63&lt;0), ))</f>
        <v>#REF!</v>
      </c>
      <c r="I62" s="65" t="e">
        <f>IF(NOT(($D$62)=""), ,IF(AND($B$62&lt;=0,$C$63&lt;0),$B$62*($C$62&lt;=0)+$C$63*($C$62&gt;0), ))</f>
        <v>#REF!</v>
      </c>
      <c r="J62" s="65" t="e">
        <f>$E$62+($F$62+$G$62+$H$62+$I$62)/2</f>
        <v>#REF!</v>
      </c>
      <c r="K62" s="65" t="e">
        <f>$F$62-$G$62-$H$62+$I$62</f>
        <v>#REF!</v>
      </c>
      <c r="L62" s="65"/>
      <c r="M62" s="65"/>
      <c r="N62" s="65"/>
      <c r="O62" s="47" t="e">
        <f>IF(NOT(($D$62)=""),"",$C$62+$B$62)</f>
        <v>#REF!</v>
      </c>
      <c r="P62" s="47" t="e">
        <f>IF(NOT(($D$62)=""),"",IF($B$62 &lt; 0,"",$B$62))</f>
        <v>#REF!</v>
      </c>
      <c r="Q62" s="47" t="e">
        <f>IF(NOT(($D$62)=""),"",IF($B$62&gt;=0,"",$B$62))</f>
        <v>#REF!</v>
      </c>
    </row>
    <row r="63" spans="1:17">
      <c r="B63" s="47" t="e">
        <f>#REF!</f>
        <v>#REF!</v>
      </c>
      <c r="C63" s="47" t="e">
        <f>IF(($D$62)="",$C$62+$B$62,$B$62)</f>
        <v>#REF!</v>
      </c>
      <c r="D63" s="65"/>
      <c r="E63" s="65" t="e">
        <f>IF(NOT(($D$63)=""), ,IF(-1=SIGN($C$63)*SIGN($C$64),,$C$63+$B$63*(-1=SIGN($C$63)*SIGN($B$63))))</f>
        <v>#REF!</v>
      </c>
      <c r="F63" s="65" t="e">
        <f>IF(NOT(($D$63)=""), ,IF(AND($B$63&gt;=0,$C$64&gt;0),$B$63*($C$63&gt;=0)+$C$64*($C$63&lt;0),))</f>
        <v>#REF!</v>
      </c>
      <c r="G63" s="65" t="e">
        <f>IF(NOT(($D$63)=""),,IF(AND($B$63&gt;=0,$C$63&lt;0),-$B$63*($C$64&lt;=0)+$C$63*($C$64&gt;0),))</f>
        <v>#REF!</v>
      </c>
      <c r="H63" s="65" t="e">
        <f>IF(NOT(($D$63)=""), ,IF(AND($B$63&lt;=0,$C$63&gt;0),-$B$63*($C$64&gt;=0)+$C$63*($C$64&lt;0), ))</f>
        <v>#REF!</v>
      </c>
      <c r="I63" s="65" t="e">
        <f>IF(NOT(($D$63)=""), ,IF(AND($B$63&lt;=0,$C$64&lt;0),$B$63*($C$63&lt;=0)+$C$64*($C$63&gt;0), ))</f>
        <v>#REF!</v>
      </c>
      <c r="J63" s="65" t="e">
        <f>$E$63+($F$63+$G$63+$H$63+$I$63)/2</f>
        <v>#REF!</v>
      </c>
      <c r="K63" s="65" t="e">
        <f>$F$63-$G$63-$H$63+$I$63</f>
        <v>#REF!</v>
      </c>
      <c r="L63" s="65"/>
      <c r="M63" s="65"/>
      <c r="N63" s="65"/>
      <c r="O63" s="47" t="e">
        <f>IF(NOT(($D$63)=""),"",$C$63+$B$63)</f>
        <v>#REF!</v>
      </c>
      <c r="P63" s="47" t="e">
        <f>IF(NOT(($D$63)=""),"",IF($B$63 &lt; 0,"",$B$63))</f>
        <v>#REF!</v>
      </c>
      <c r="Q63" s="47" t="e">
        <f>IF(NOT(($D$63)=""),"",IF($B$63&gt;=0,"",$B$63))</f>
        <v>#REF!</v>
      </c>
    </row>
    <row r="64" spans="1:17">
      <c r="B64" s="47" t="e">
        <f>#REF!</f>
        <v>#REF!</v>
      </c>
      <c r="C64" s="47" t="e">
        <f>IF(($D$63)="",$C$63+$B$63,$B$63)</f>
        <v>#REF!</v>
      </c>
      <c r="D64" s="65" t="e">
        <f>$B$64</f>
        <v>#REF!</v>
      </c>
      <c r="E64" s="65" t="e">
        <f>IF(NOT(($D$64)=""), ,IF(-1=SIGN($C$64)*SIGN($C$65),,$C$64+$B$64*(-1=SIGN($C$64)*SIGN($B$64))))</f>
        <v>#REF!</v>
      </c>
      <c r="F64" s="65" t="e">
        <f>IF(NOT(($D$64)=""), ,IF(AND($B$64&gt;=0,$C$65&gt;0),$B$64*($C$64&gt;=0)+$C$65*($C$64&lt;0),))</f>
        <v>#REF!</v>
      </c>
      <c r="G64" s="65" t="e">
        <f>IF(NOT(($D$64)=""),,IF(AND($B$64&gt;=0,$C$64&lt;0),-$B$64*($C$65&lt;=0)+$C$64*($C$65&gt;0),))</f>
        <v>#REF!</v>
      </c>
      <c r="H64" s="65" t="e">
        <f>IF(NOT(($D$64)=""), ,IF(AND($B$64&lt;=0,$C$64&gt;0),-$B$64*($C$65&gt;=0)+$C$64*($C$65&lt;0), ))</f>
        <v>#REF!</v>
      </c>
      <c r="I64" s="65" t="e">
        <f>IF(NOT(($D$64)=""), ,IF(AND($B$64&lt;=0,$C$65&lt;0),$B$64*($C$64&lt;=0)+$C$65*($C$64&gt;0), ))</f>
        <v>#REF!</v>
      </c>
      <c r="J64" s="65" t="e">
        <f>$E$64+($F$64+$G$64+$H$64+$I$64)/2</f>
        <v>#REF!</v>
      </c>
      <c r="K64" s="65" t="e">
        <f>$F$64-$G$64-$H$64+$I$64</f>
        <v>#REF!</v>
      </c>
      <c r="L64" s="65"/>
      <c r="M64" s="65"/>
      <c r="N64" s="65"/>
      <c r="O64" s="47" t="e">
        <f>IF(NOT(($D$64)=""),"",$C$64+$B$64)</f>
        <v>#REF!</v>
      </c>
      <c r="P64" s="47" t="e">
        <f>IF(NOT(($D$64)=""),"",IF($B$64 &lt; 0,"",$B$64))</f>
        <v>#REF!</v>
      </c>
      <c r="Q64" s="47" t="e">
        <f>IF(NOT(($D$64)=""),"",IF($B$64&gt;=0,"",$B$64))</f>
        <v>#REF!</v>
      </c>
    </row>
    <row r="65" spans="1:17">
      <c r="B65" s="47" t="e">
        <f>#REF!</f>
        <v>#REF!</v>
      </c>
      <c r="C65" s="47" t="e">
        <f>IF(($D$64)="",$C$64+$B$64,$B$64)</f>
        <v>#REF!</v>
      </c>
      <c r="D65" s="65"/>
      <c r="E65" s="65" t="e">
        <f>IF(NOT(($D$65)=""), ,IF(-1=SIGN($C$65)*SIGN($C$66),,$C$65+$B$65*(-1=SIGN($C$65)*SIGN($B$65))))</f>
        <v>#REF!</v>
      </c>
      <c r="F65" s="65" t="e">
        <f>IF(NOT(($D$65)=""), ,IF(AND($B$65&gt;=0,$C$66&gt;0),$B$65*($C$65&gt;=0)+$C$66*($C$65&lt;0),))</f>
        <v>#REF!</v>
      </c>
      <c r="G65" s="65" t="e">
        <f>IF(NOT(($D$65)=""),,IF(AND($B$65&gt;=0,$C$65&lt;0),-$B$65*($C$66&lt;=0)+$C$65*($C$66&gt;0),))</f>
        <v>#REF!</v>
      </c>
      <c r="H65" s="65" t="e">
        <f>IF(NOT(($D$65)=""), ,IF(AND($B$65&lt;=0,$C$65&gt;0),-$B$65*($C$66&gt;=0)+$C$65*($C$66&lt;0), ))</f>
        <v>#REF!</v>
      </c>
      <c r="I65" s="65" t="e">
        <f>IF(NOT(($D$65)=""), ,IF(AND($B$65&lt;=0,$C$66&lt;0),$B$65*($C$65&lt;=0)+$C$66*($C$65&gt;0), ))</f>
        <v>#REF!</v>
      </c>
      <c r="J65" s="65" t="e">
        <f>$E$65+($F$65+$G$65+$H$65+$I$65)/2</f>
        <v>#REF!</v>
      </c>
      <c r="K65" s="65" t="e">
        <f>$F$65-$G$65-$H$65+$I$65</f>
        <v>#REF!</v>
      </c>
      <c r="L65" s="65"/>
      <c r="M65" s="65"/>
      <c r="N65" s="65"/>
      <c r="O65" s="47" t="e">
        <f>IF(NOT(($D$65)=""),"",$C$65+$B$65)</f>
        <v>#REF!</v>
      </c>
      <c r="P65" s="47" t="e">
        <f>IF(NOT(($D$65)=""),"",IF($B$65 &lt; 0,"",$B$65))</f>
        <v>#REF!</v>
      </c>
      <c r="Q65" s="47" t="e">
        <f>IF(NOT(($D$65)=""),"",IF($B$65&gt;=0,"",$B$65))</f>
        <v>#REF!</v>
      </c>
    </row>
    <row r="66" spans="1:17">
      <c r="B66" s="47" t="e">
        <f>#REF!</f>
        <v>#REF!</v>
      </c>
      <c r="C66" s="47" t="e">
        <f>IF(($D$65)="",$C$65+$B$65,$B$65)</f>
        <v>#REF!</v>
      </c>
      <c r="D66" s="65"/>
      <c r="E66" s="65" t="e">
        <f>IF(NOT(($D$66)=""), ,IF(-1=SIGN($C$66)*SIGN($C$67),,$C$66+$B$66*(-1=SIGN($C$66)*SIGN($B$66))))</f>
        <v>#REF!</v>
      </c>
      <c r="F66" s="65" t="e">
        <f>IF(NOT(($D$66)=""), ,IF(AND($B$66&gt;=0,$C$67&gt;0),$B$66*($C$66&gt;=0)+$C$67*($C$66&lt;0),))</f>
        <v>#REF!</v>
      </c>
      <c r="G66" s="65" t="e">
        <f>IF(NOT(($D$66)=""),,IF(AND($B$66&gt;=0,$C$66&lt;0),-$B$66*($C$67&lt;=0)+$C$66*($C$67&gt;0),))</f>
        <v>#REF!</v>
      </c>
      <c r="H66" s="65" t="e">
        <f>IF(NOT(($D$66)=""), ,IF(AND($B$66&lt;=0,$C$66&gt;0),-$B$66*($C$67&gt;=0)+$C$66*($C$67&lt;0), ))</f>
        <v>#REF!</v>
      </c>
      <c r="I66" s="65" t="e">
        <f>IF(NOT(($D$66)=""), ,IF(AND($B$66&lt;=0,$C$67&lt;0),$B$66*($C$66&lt;=0)+$C$67*($C$66&gt;0), ))</f>
        <v>#REF!</v>
      </c>
      <c r="J66" s="65" t="e">
        <f>$E$66+($F$66+$G$66+$H$66+$I$66)/2</f>
        <v>#REF!</v>
      </c>
      <c r="K66" s="65" t="e">
        <f>$F$66-$G$66-$H$66+$I$66</f>
        <v>#REF!</v>
      </c>
      <c r="L66" s="65"/>
      <c r="M66" s="65"/>
      <c r="N66" s="65"/>
      <c r="O66" s="47" t="e">
        <f>IF(NOT(($D$66)=""),"",$C$66+$B$66)</f>
        <v>#REF!</v>
      </c>
      <c r="P66" s="47" t="e">
        <f>IF(NOT(($D$66)=""),"",IF($B$66 &lt; 0,"",$B$66))</f>
        <v>#REF!</v>
      </c>
      <c r="Q66" s="47" t="e">
        <f>IF(NOT(($D$66)=""),"",IF($B$66&gt;=0,"",$B$66))</f>
        <v>#REF!</v>
      </c>
    </row>
    <row r="67" spans="1:17">
      <c r="B67" s="47" t="e">
        <f>#REF!</f>
        <v>#REF!</v>
      </c>
      <c r="C67" s="47" t="e">
        <f>IF(($D$66)="",$C$66+$B$66,$B$66)</f>
        <v>#REF!</v>
      </c>
      <c r="D67" s="65"/>
      <c r="E67" s="65" t="e">
        <f>IF(NOT(($D$67)=""), ,IF(-1=SIGN($C$67)*SIGN($C$68),,$C$67+$B$67*(-1=SIGN($C$67)*SIGN($B$67))))</f>
        <v>#REF!</v>
      </c>
      <c r="F67" s="65" t="e">
        <f>IF(NOT(($D$67)=""), ,IF(AND($B$67&gt;=0,$C$68&gt;0),$B$67*($C$67&gt;=0)+$C$68*($C$67&lt;0),))</f>
        <v>#REF!</v>
      </c>
      <c r="G67" s="65" t="e">
        <f>IF(NOT(($D$67)=""),,IF(AND($B$67&gt;=0,$C$67&lt;0),-$B$67*($C$68&lt;=0)+$C$67*($C$68&gt;0),))</f>
        <v>#REF!</v>
      </c>
      <c r="H67" s="65" t="e">
        <f>IF(NOT(($D$67)=""), ,IF(AND($B$67&lt;=0,$C$67&gt;0),-$B$67*($C$68&gt;=0)+$C$67*($C$68&lt;0), ))</f>
        <v>#REF!</v>
      </c>
      <c r="I67" s="65" t="e">
        <f>IF(NOT(($D$67)=""), ,IF(AND($B$67&lt;=0,$C$68&lt;0),$B$67*($C$67&lt;=0)+$C$68*($C$67&gt;0), ))</f>
        <v>#REF!</v>
      </c>
      <c r="J67" s="65" t="e">
        <f>$E$67+($F$67+$G$67+$H$67+$I$67)/2</f>
        <v>#REF!</v>
      </c>
      <c r="K67" s="65" t="e">
        <f>$F$67-$G$67-$H$67+$I$67</f>
        <v>#REF!</v>
      </c>
      <c r="L67" s="65"/>
      <c r="M67" s="65"/>
      <c r="N67" s="65"/>
      <c r="O67" s="47" t="e">
        <f>IF(NOT(($D$67)=""),"",$C$67+$B$67)</f>
        <v>#REF!</v>
      </c>
      <c r="P67" s="47" t="e">
        <f>IF(NOT(($D$67)=""),"",IF($B$67 &lt; 0,"",$B$67))</f>
        <v>#REF!</v>
      </c>
      <c r="Q67" s="47" t="e">
        <f>IF(NOT(($D$67)=""),"",IF($B$67&gt;=0,"",$B$67))</f>
        <v>#REF!</v>
      </c>
    </row>
    <row r="68" spans="1:17">
      <c r="B68" s="47" t="e">
        <f>#REF!</f>
        <v>#REF!</v>
      </c>
      <c r="C68" s="47" t="e">
        <f>IF(($D$67)="",$C$67+$B$67,$B$67)</f>
        <v>#REF!</v>
      </c>
      <c r="D68" s="65"/>
      <c r="E68" s="65" t="e">
        <f>IF(NOT(($D$68)=""), ,IF(-1=SIGN($C$68)*SIGN($C$69),,$C$68+$B$68*(-1=SIGN($C$68)*SIGN($B$68))))</f>
        <v>#REF!</v>
      </c>
      <c r="F68" s="65" t="e">
        <f>IF(NOT(($D$68)=""), ,IF(AND($B$68&gt;=0,$C$69&gt;0),$B$68*($C$68&gt;=0)+$C$69*($C$68&lt;0),))</f>
        <v>#REF!</v>
      </c>
      <c r="G68" s="65" t="e">
        <f>IF(NOT(($D$68)=""),,IF(AND($B$68&gt;=0,$C$68&lt;0),-$B$68*($C$69&lt;=0)+$C$68*($C$69&gt;0),))</f>
        <v>#REF!</v>
      </c>
      <c r="H68" s="65" t="e">
        <f>IF(NOT(($D$68)=""), ,IF(AND($B$68&lt;=0,$C$68&gt;0),-$B$68*($C$69&gt;=0)+$C$68*($C$69&lt;0), ))</f>
        <v>#REF!</v>
      </c>
      <c r="I68" s="65" t="e">
        <f>IF(NOT(($D$68)=""), ,IF(AND($B$68&lt;=0,$C$69&lt;0),$B$68*($C$68&lt;=0)+$C$69*($C$68&gt;0), ))</f>
        <v>#REF!</v>
      </c>
      <c r="J68" s="65" t="e">
        <f>$E$68+($F$68+$G$68+$H$68+$I$68)/2</f>
        <v>#REF!</v>
      </c>
      <c r="K68" s="65" t="e">
        <f>$F$68-$G$68-$H$68+$I$68</f>
        <v>#REF!</v>
      </c>
      <c r="L68" s="65"/>
      <c r="M68" s="65"/>
      <c r="N68" s="65"/>
      <c r="O68" s="47" t="e">
        <f>IF(NOT(($D$68)=""),"",$C$68+$B$68)</f>
        <v>#REF!</v>
      </c>
      <c r="P68" s="47" t="e">
        <f>IF(NOT(($D$68)=""),"",IF($B$68 &lt; 0,"",$B$68))</f>
        <v>#REF!</v>
      </c>
      <c r="Q68" s="47" t="e">
        <f>IF(NOT(($D$68)=""),"",IF($B$68&gt;=0,"",$B$68))</f>
        <v>#REF!</v>
      </c>
    </row>
    <row r="69" spans="1:17">
      <c r="B69" s="47" t="e">
        <f>#REF!</f>
        <v>#REF!</v>
      </c>
      <c r="C69" s="47" t="e">
        <f>IF(($D$68)="",$C$68+$B$68,$B$68)</f>
        <v>#REF!</v>
      </c>
      <c r="D69" s="65" t="e">
        <f>$B$69</f>
        <v>#REF!</v>
      </c>
      <c r="E69" s="65" t="e">
        <f>IF(NOT(($D$69)=""), ,IF(-1=SIGN($C$69)*SIGN($C$70),,$C$69+$B$69*(-1=SIGN($C$69)*SIGN($B$69))))</f>
        <v>#REF!</v>
      </c>
      <c r="F69" s="65" t="e">
        <f>IF(NOT(($D$69)=""), ,IF(AND($B$69&gt;=0,$C$70&gt;0),$B$69*($C$69&gt;=0)+$C$70*($C$69&lt;0),))</f>
        <v>#REF!</v>
      </c>
      <c r="G69" s="65" t="e">
        <f>IF(NOT(($D$69)=""),,IF(AND($B$69&gt;=0,$C$69&lt;0),-$B$69*($C$70&lt;=0)+$C$69*($C$70&gt;0),))</f>
        <v>#REF!</v>
      </c>
      <c r="H69" s="65" t="e">
        <f>IF(NOT(($D$69)=""), ,IF(AND($B$69&lt;=0,$C$69&gt;0),-$B$69*($C$70&gt;=0)+$C$69*($C$70&lt;0), ))</f>
        <v>#REF!</v>
      </c>
      <c r="I69" s="65" t="e">
        <f>IF(NOT(($D$69)=""), ,IF(AND($B$69&lt;=0,$C$70&lt;0),$B$69*($C$69&lt;=0)+$C$70*($C$69&gt;0), ))</f>
        <v>#REF!</v>
      </c>
      <c r="J69" s="65" t="e">
        <f>$E$69+($F$69+$G$69+$H$69+$I$69)/2</f>
        <v>#REF!</v>
      </c>
      <c r="K69" s="65" t="e">
        <f>$F$69-$G$69-$H$69+$I$69</f>
        <v>#REF!</v>
      </c>
      <c r="L69" s="65"/>
      <c r="M69" s="65"/>
      <c r="N69" s="65"/>
      <c r="O69" s="47" t="e">
        <f>IF(NOT(($D$69)=""),"",$C$69+$B$69)</f>
        <v>#REF!</v>
      </c>
      <c r="P69" s="47" t="e">
        <f>IF(NOT(($D$69)=""),"",IF($B$69 &lt; 0,"",$B$69))</f>
        <v>#REF!</v>
      </c>
      <c r="Q69" s="47" t="e">
        <f>IF(NOT(($D$69)=""),"",IF($B$69&gt;=0,"",$B$69))</f>
        <v>#REF!</v>
      </c>
    </row>
    <row r="70" spans="1:17">
      <c r="B70" s="47" t="e">
        <f>#REF!</f>
        <v>#REF!</v>
      </c>
      <c r="C70" s="47" t="e">
        <f>IF(($D$69)="",$C$69+$B$69,$B$69)</f>
        <v>#REF!</v>
      </c>
      <c r="D70" s="65"/>
      <c r="E70" s="65" t="e">
        <f>IF(NOT(($D$70)=""), ,IF(-1=SIGN($C$70)*SIGN($C$71),,$C$70+$B$70*(-1=SIGN($C$70)*SIGN($B$70))))</f>
        <v>#REF!</v>
      </c>
      <c r="F70" s="65" t="e">
        <f>IF(NOT(($D$70)=""), ,IF(AND($B$70&gt;=0,$C$71&gt;0),$B$70*($C$70&gt;=0)+$C$71*($C$70&lt;0),))</f>
        <v>#REF!</v>
      </c>
      <c r="G70" s="65" t="e">
        <f>IF(NOT(($D$70)=""),,IF(AND($B$70&gt;=0,$C$70&lt;0),-$B$70*($C$71&lt;=0)+$C$70*($C$71&gt;0),))</f>
        <v>#REF!</v>
      </c>
      <c r="H70" s="65" t="e">
        <f>IF(NOT(($D$70)=""), ,IF(AND($B$70&lt;=0,$C$70&gt;0),-$B$70*($C$71&gt;=0)+$C$70*($C$71&lt;0), ))</f>
        <v>#REF!</v>
      </c>
      <c r="I70" s="65" t="e">
        <f>IF(NOT(($D$70)=""), ,IF(AND($B$70&lt;=0,$C$71&lt;0),$B$70*($C$70&lt;=0)+$C$71*($C$70&gt;0), ))</f>
        <v>#REF!</v>
      </c>
      <c r="J70" s="65" t="e">
        <f>$E$70+($F$70+$G$70+$H$70+$I$70)/2</f>
        <v>#REF!</v>
      </c>
      <c r="K70" s="65" t="e">
        <f>$F$70-$G$70-$H$70+$I$70</f>
        <v>#REF!</v>
      </c>
      <c r="L70" s="65"/>
      <c r="M70" s="65"/>
      <c r="N70" s="65"/>
      <c r="O70" s="47" t="e">
        <f>IF(NOT(($D$70)=""),"",$C$70+$B$70)</f>
        <v>#REF!</v>
      </c>
      <c r="P70" s="47" t="e">
        <f>IF(NOT(($D$70)=""),"",IF($B$70 &lt; 0,"",$B$70))</f>
        <v>#REF!</v>
      </c>
      <c r="Q70" s="47" t="e">
        <f>IF(NOT(($D$70)=""),"",IF($B$70&gt;=0,"",$B$70))</f>
        <v>#REF!</v>
      </c>
    </row>
    <row r="71" spans="1:17">
      <c r="B71" s="47" t="e">
        <f>#REF!</f>
        <v>#REF!</v>
      </c>
      <c r="C71" s="47" t="e">
        <f>IF(($D$70)="",$C$70+$B$70,$B$70)</f>
        <v>#REF!</v>
      </c>
      <c r="D71" s="65"/>
      <c r="E71" s="65" t="e">
        <f>IF(NOT(($D$71)=""), ,IF(-1=SIGN($C$71)*SIGN($C$72),,$C$71+$B$71*(-1=SIGN($C$71)*SIGN($B$71))))</f>
        <v>#REF!</v>
      </c>
      <c r="F71" s="65" t="e">
        <f>IF(NOT(($D$71)=""), ,IF(AND($B$71&gt;=0,$C$72&gt;0),$B$71*($C$71&gt;=0)+$C$72*($C$71&lt;0),))</f>
        <v>#REF!</v>
      </c>
      <c r="G71" s="65" t="e">
        <f>IF(NOT(($D$71)=""),,IF(AND($B$71&gt;=0,$C$71&lt;0),-$B$71*($C$72&lt;=0)+$C$71*($C$72&gt;0),))</f>
        <v>#REF!</v>
      </c>
      <c r="H71" s="65" t="e">
        <f>IF(NOT(($D$71)=""), ,IF(AND($B$71&lt;=0,$C$71&gt;0),-$B$71*($C$72&gt;=0)+$C$71*($C$72&lt;0), ))</f>
        <v>#REF!</v>
      </c>
      <c r="I71" s="65" t="e">
        <f>IF(NOT(($D$71)=""), ,IF(AND($B$71&lt;=0,$C$72&lt;0),$B$71*($C$71&lt;=0)+$C$72*($C$71&gt;0), ))</f>
        <v>#REF!</v>
      </c>
      <c r="J71" s="65" t="e">
        <f>$E$71+($F$71+$G$71+$H$71+$I$71)/2</f>
        <v>#REF!</v>
      </c>
      <c r="K71" s="65" t="e">
        <f>$F$71-$G$71-$H$71+$I$71</f>
        <v>#REF!</v>
      </c>
      <c r="L71" s="65"/>
      <c r="M71" s="65"/>
      <c r="N71" s="65"/>
      <c r="O71" s="47" t="e">
        <f>IF(NOT(($D$71)=""),"",$C$71+$B$71)</f>
        <v>#REF!</v>
      </c>
      <c r="P71" s="47" t="e">
        <f>IF(NOT(($D$71)=""),"",IF($B$71 &lt; 0,"",$B$71))</f>
        <v>#REF!</v>
      </c>
      <c r="Q71" s="47" t="e">
        <f>IF(NOT(($D$71)=""),"",IF($B$71&gt;=0,"",$B$71))</f>
        <v>#REF!</v>
      </c>
    </row>
    <row r="72" spans="1:17">
      <c r="B72" s="47" t="e">
        <f>#REF!</f>
        <v>#REF!</v>
      </c>
      <c r="C72" s="47" t="e">
        <f>IF(($D$71)="",$C$71+$B$71,$B$71)</f>
        <v>#REF!</v>
      </c>
      <c r="D72" s="65"/>
      <c r="E72" s="65" t="e">
        <f>IF(NOT(($D$72)=""), ,IF(-1=SIGN($C$72)*SIGN($C$73),,$C$72+$B$72*(-1=SIGN($C$72)*SIGN($B$72))))</f>
        <v>#REF!</v>
      </c>
      <c r="F72" s="65" t="e">
        <f>IF(NOT(($D$72)=""), ,IF(AND($B$72&gt;=0,$C$73&gt;0),$B$72*($C$72&gt;=0)+$C$73*($C$72&lt;0),))</f>
        <v>#REF!</v>
      </c>
      <c r="G72" s="65" t="e">
        <f>IF(NOT(($D$72)=""),,IF(AND($B$72&gt;=0,$C$72&lt;0),-$B$72*($C$73&lt;=0)+$C$72*($C$73&gt;0),))</f>
        <v>#REF!</v>
      </c>
      <c r="H72" s="65" t="e">
        <f>IF(NOT(($D$72)=""), ,IF(AND($B$72&lt;=0,$C$72&gt;0),-$B$72*($C$73&gt;=0)+$C$72*($C$73&lt;0), ))</f>
        <v>#REF!</v>
      </c>
      <c r="I72" s="65" t="e">
        <f>IF(NOT(($D$72)=""), ,IF(AND($B$72&lt;=0,$C$73&lt;0),$B$72*($C$72&lt;=0)+$C$73*($C$72&gt;0), ))</f>
        <v>#REF!</v>
      </c>
      <c r="J72" s="65" t="e">
        <f>$E$72+($F$72+$G$72+$H$72+$I$72)/2</f>
        <v>#REF!</v>
      </c>
      <c r="K72" s="65" t="e">
        <f>$F$72-$G$72-$H$72+$I$72</f>
        <v>#REF!</v>
      </c>
      <c r="L72" s="65"/>
      <c r="M72" s="65"/>
      <c r="N72" s="65"/>
      <c r="O72" s="47" t="e">
        <f>IF(NOT(($D$72)=""),"",$C$72+$B$72)</f>
        <v>#REF!</v>
      </c>
      <c r="P72" s="47" t="e">
        <f>IF(NOT(($D$72)=""),"",IF($B$72 &lt; 0,"",$B$72))</f>
        <v>#REF!</v>
      </c>
      <c r="Q72" s="47" t="e">
        <f>IF(NOT(($D$72)=""),"",IF($B$72&gt;=0,"",$B$72))</f>
        <v>#REF!</v>
      </c>
    </row>
    <row r="73" spans="1:17">
      <c r="B73" s="47" t="e">
        <f>#REF!</f>
        <v>#REF!</v>
      </c>
      <c r="C73" s="47" t="e">
        <f>IF(($D$72)="",$C$72+$B$72,$B$72)</f>
        <v>#REF!</v>
      </c>
      <c r="D73" s="65" t="e">
        <f>$B$73</f>
        <v>#REF!</v>
      </c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47"/>
      <c r="P73" s="47"/>
      <c r="Q73" s="47"/>
    </row>
    <row r="75" spans="1:17">
      <c r="A75" s="45">
        <v>6</v>
      </c>
      <c r="B75" s="47" t="e">
        <f>#REF!</f>
        <v>#REF!</v>
      </c>
      <c r="C75" s="47"/>
      <c r="D75" s="65" t="e">
        <f>$B$75</f>
        <v>#REF!</v>
      </c>
      <c r="E75" s="65"/>
      <c r="F75" s="65"/>
      <c r="G75" s="65"/>
      <c r="H75" s="65"/>
      <c r="I75" s="65"/>
      <c r="J75" s="65"/>
      <c r="K75" s="65"/>
      <c r="L75" s="65" t="e">
        <f>IF(MAX($C$75:$C$90,$B$90)-MIN($C$75:$C$90,$B$90)=0,0,ROUNDDOWN(IF(MIN($C$75:$C$90,$B$90)&gt;0,MAX(0,MIN($C$75:$C$90,$B$90)-ABS(MAX($C$75:$C$90,$B$90)-MIN($C$75:$C$90,$B$90))/5),IF(MAX($C$75:$C$90,$B$90)&gt;0,0,MIN(0,MAX($C$75:$C$90,$B$90)+ABS(MAX($C$75:$C$90,$B$90)-MIN($C$75:$C$90,$B$90))/5)))/10^(INT(LOG10(MAX($C$75:$C$90,$B$90)-MIN($C$75:$C$90,$B$90)))),0)*10^(INT(LOG10(MAX($C$75:$C$90,$B$90)-MIN($C$75:$C$90,$B$90)))))</f>
        <v>#REF!</v>
      </c>
      <c r="M75" s="65"/>
      <c r="N75" s="65"/>
      <c r="O75" s="47"/>
      <c r="P75" s="47"/>
      <c r="Q75" s="47"/>
    </row>
    <row r="76" spans="1:17">
      <c r="B76" s="47" t="e">
        <f>#REF!</f>
        <v>#REF!</v>
      </c>
      <c r="C76" s="47" t="e">
        <f>$B$75</f>
        <v>#REF!</v>
      </c>
      <c r="D76" s="65"/>
      <c r="E76" s="65" t="e">
        <f>IF(NOT(($D$76)=""), ,IF(-1=SIGN($C$76)*SIGN($C$77),,$C$76+$B$76*(-1=SIGN($C$76)*SIGN($B$76))))</f>
        <v>#REF!</v>
      </c>
      <c r="F76" s="65" t="e">
        <f>IF(NOT(($D$76)=""), ,IF(AND($B$76&gt;=0,$C$77&gt;0),$B$76*($C$76&gt;=0)+$C$77*($C$76&lt;0),))</f>
        <v>#REF!</v>
      </c>
      <c r="G76" s="65" t="e">
        <f>IF(NOT(($D$76)=""),,IF(AND($B$76&gt;=0,$C$76&lt;0),-$B$76*($C$77&lt;=0)+$C$76*($C$77&gt;0),))</f>
        <v>#REF!</v>
      </c>
      <c r="H76" s="65" t="e">
        <f>IF(NOT(($D$76)=""), ,IF(AND($B$76&lt;=0,$C$76&gt;0),-$B$76*($C$77&gt;=0)+$C$76*($C$77&lt;0), ))</f>
        <v>#REF!</v>
      </c>
      <c r="I76" s="65" t="e">
        <f>IF(NOT(($D$76)=""), ,IF(AND($B$76&lt;=0,$C$77&lt;0),$B$76*($C$76&lt;=0)+$C$77*($C$76&gt;0), ))</f>
        <v>#REF!</v>
      </c>
      <c r="J76" s="65" t="e">
        <f>$E$76+($F$76+$G$76+$H$76+$I$76)/2</f>
        <v>#REF!</v>
      </c>
      <c r="K76" s="65" t="e">
        <f>$F$76-$G$76-$H$76+$I$76</f>
        <v>#REF!</v>
      </c>
      <c r="L76" s="65"/>
      <c r="M76" s="65"/>
      <c r="N76" s="65"/>
      <c r="O76" s="47" t="e">
        <f>IF(NOT(($D$76)=""),"",$C$76+$B$76)</f>
        <v>#REF!</v>
      </c>
      <c r="P76" s="47" t="e">
        <f>IF(NOT(($D$76)=""),"",IF($B$76 &lt; 0,"",$B$76))</f>
        <v>#REF!</v>
      </c>
      <c r="Q76" s="47" t="e">
        <f>IF(NOT(($D$76)=""),"",IF($B$76&gt;=0,"",$B$76))</f>
        <v>#REF!</v>
      </c>
    </row>
    <row r="77" spans="1:17">
      <c r="B77" s="47" t="e">
        <f>#REF!</f>
        <v>#REF!</v>
      </c>
      <c r="C77" s="47" t="e">
        <f>IF(($D$76)="",$C$76+$B$76,$B$76)</f>
        <v>#REF!</v>
      </c>
      <c r="D77" s="65"/>
      <c r="E77" s="65" t="e">
        <f>IF(NOT(($D$77)=""), ,IF(-1=SIGN($C$77)*SIGN($C$78),,$C$77+$B$77*(-1=SIGN($C$77)*SIGN($B$77))))</f>
        <v>#REF!</v>
      </c>
      <c r="F77" s="65" t="e">
        <f>IF(NOT(($D$77)=""), ,IF(AND($B$77&gt;=0,$C$78&gt;0),$B$77*($C$77&gt;=0)+$C$78*($C$77&lt;0),))</f>
        <v>#REF!</v>
      </c>
      <c r="G77" s="65" t="e">
        <f>IF(NOT(($D$77)=""),,IF(AND($B$77&gt;=0,$C$77&lt;0),-$B$77*($C$78&lt;=0)+$C$77*($C$78&gt;0),))</f>
        <v>#REF!</v>
      </c>
      <c r="H77" s="65" t="e">
        <f>IF(NOT(($D$77)=""), ,IF(AND($B$77&lt;=0,$C$77&gt;0),-$B$77*($C$78&gt;=0)+$C$77*($C$78&lt;0), ))</f>
        <v>#REF!</v>
      </c>
      <c r="I77" s="65" t="e">
        <f>IF(NOT(($D$77)=""), ,IF(AND($B$77&lt;=0,$C$78&lt;0),$B$77*($C$77&lt;=0)+$C$78*($C$77&gt;0), ))</f>
        <v>#REF!</v>
      </c>
      <c r="J77" s="65" t="e">
        <f>$E$77+($F$77+$G$77+$H$77+$I$77)/2</f>
        <v>#REF!</v>
      </c>
      <c r="K77" s="65" t="e">
        <f>$F$77-$G$77-$H$77+$I$77</f>
        <v>#REF!</v>
      </c>
      <c r="L77" s="65"/>
      <c r="M77" s="65"/>
      <c r="N77" s="65"/>
      <c r="O77" s="47" t="e">
        <f>IF(NOT(($D$77)=""),"",$C$77+$B$77)</f>
        <v>#REF!</v>
      </c>
      <c r="P77" s="47" t="e">
        <f>IF(NOT(($D$77)=""),"",IF($B$77 &lt; 0,"",$B$77))</f>
        <v>#REF!</v>
      </c>
      <c r="Q77" s="47" t="e">
        <f>IF(NOT(($D$77)=""),"",IF($B$77&gt;=0,"",$B$77))</f>
        <v>#REF!</v>
      </c>
    </row>
    <row r="78" spans="1:17">
      <c r="B78" s="47" t="e">
        <f>#REF!</f>
        <v>#REF!</v>
      </c>
      <c r="C78" s="47" t="e">
        <f>IF(($D$77)="",$C$77+$B$77,$B$77)</f>
        <v>#REF!</v>
      </c>
      <c r="D78" s="65"/>
      <c r="E78" s="65" t="e">
        <f>IF(NOT(($D$78)=""), ,IF(-1=SIGN($C$78)*SIGN($C$79),,$C$78+$B$78*(-1=SIGN($C$78)*SIGN($B$78))))</f>
        <v>#REF!</v>
      </c>
      <c r="F78" s="65" t="e">
        <f>IF(NOT(($D$78)=""), ,IF(AND($B$78&gt;=0,$C$79&gt;0),$B$78*($C$78&gt;=0)+$C$79*($C$78&lt;0),))</f>
        <v>#REF!</v>
      </c>
      <c r="G78" s="65" t="e">
        <f>IF(NOT(($D$78)=""),,IF(AND($B$78&gt;=0,$C$78&lt;0),-$B$78*($C$79&lt;=0)+$C$78*($C$79&gt;0),))</f>
        <v>#REF!</v>
      </c>
      <c r="H78" s="65" t="e">
        <f>IF(NOT(($D$78)=""), ,IF(AND($B$78&lt;=0,$C$78&gt;0),-$B$78*($C$79&gt;=0)+$C$78*($C$79&lt;0), ))</f>
        <v>#REF!</v>
      </c>
      <c r="I78" s="65" t="e">
        <f>IF(NOT(($D$78)=""), ,IF(AND($B$78&lt;=0,$C$79&lt;0),$B$78*($C$78&lt;=0)+$C$79*($C$78&gt;0), ))</f>
        <v>#REF!</v>
      </c>
      <c r="J78" s="65" t="e">
        <f>$E$78+($F$78+$G$78+$H$78+$I$78)/2</f>
        <v>#REF!</v>
      </c>
      <c r="K78" s="65" t="e">
        <f>$F$78-$G$78-$H$78+$I$78</f>
        <v>#REF!</v>
      </c>
      <c r="L78" s="65"/>
      <c r="M78" s="65"/>
      <c r="N78" s="65"/>
      <c r="O78" s="47" t="e">
        <f>IF(NOT(($D$78)=""),"",$C$78+$B$78)</f>
        <v>#REF!</v>
      </c>
      <c r="P78" s="47" t="e">
        <f>IF(NOT(($D$78)=""),"",IF($B$78 &lt; 0,"",$B$78))</f>
        <v>#REF!</v>
      </c>
      <c r="Q78" s="47" t="e">
        <f>IF(NOT(($D$78)=""),"",IF($B$78&gt;=0,"",$B$78))</f>
        <v>#REF!</v>
      </c>
    </row>
    <row r="79" spans="1:17">
      <c r="B79" s="47" t="e">
        <f>#REF!</f>
        <v>#REF!</v>
      </c>
      <c r="C79" s="47" t="e">
        <f>IF(($D$78)="",$C$78+$B$78,$B$78)</f>
        <v>#REF!</v>
      </c>
      <c r="D79" s="65" t="e">
        <f>$B$79</f>
        <v>#REF!</v>
      </c>
      <c r="E79" s="65" t="e">
        <f>IF(NOT(($D$79)=""), ,IF(-1=SIGN($C$79)*SIGN($C$80),,$C$79+$B$79*(-1=SIGN($C$79)*SIGN($B$79))))</f>
        <v>#REF!</v>
      </c>
      <c r="F79" s="65" t="e">
        <f>IF(NOT(($D$79)=""), ,IF(AND($B$79&gt;=0,$C$80&gt;0),$B$79*($C$79&gt;=0)+$C$80*($C$79&lt;0),))</f>
        <v>#REF!</v>
      </c>
      <c r="G79" s="65" t="e">
        <f>IF(NOT(($D$79)=""),,IF(AND($B$79&gt;=0,$C$79&lt;0),-$B$79*($C$80&lt;=0)+$C$79*($C$80&gt;0),))</f>
        <v>#REF!</v>
      </c>
      <c r="H79" s="65" t="e">
        <f>IF(NOT(($D$79)=""), ,IF(AND($B$79&lt;=0,$C$79&gt;0),-$B$79*($C$80&gt;=0)+$C$79*($C$80&lt;0), ))</f>
        <v>#REF!</v>
      </c>
      <c r="I79" s="65" t="e">
        <f>IF(NOT(($D$79)=""), ,IF(AND($B$79&lt;=0,$C$80&lt;0),$B$79*($C$79&lt;=0)+$C$80*($C$79&gt;0), ))</f>
        <v>#REF!</v>
      </c>
      <c r="J79" s="65" t="e">
        <f>$E$79+($F$79+$G$79+$H$79+$I$79)/2</f>
        <v>#REF!</v>
      </c>
      <c r="K79" s="65" t="e">
        <f>$F$79-$G$79-$H$79+$I$79</f>
        <v>#REF!</v>
      </c>
      <c r="L79" s="65"/>
      <c r="M79" s="65"/>
      <c r="N79" s="65"/>
      <c r="O79" s="47" t="e">
        <f>IF(NOT(($D$79)=""),"",$C$79+$B$79)</f>
        <v>#REF!</v>
      </c>
      <c r="P79" s="47" t="e">
        <f>IF(NOT(($D$79)=""),"",IF($B$79 &lt; 0,"",$B$79))</f>
        <v>#REF!</v>
      </c>
      <c r="Q79" s="47" t="e">
        <f>IF(NOT(($D$79)=""),"",IF($B$79&gt;=0,"",$B$79))</f>
        <v>#REF!</v>
      </c>
    </row>
    <row r="80" spans="1:17">
      <c r="B80" s="47" t="e">
        <f>#REF!</f>
        <v>#REF!</v>
      </c>
      <c r="C80" s="47" t="e">
        <f>IF(($D$79)="",$C$79+$B$79,$B$79)</f>
        <v>#REF!</v>
      </c>
      <c r="D80" s="65"/>
      <c r="E80" s="65" t="e">
        <f>IF(NOT(($D$80)=""), ,IF(-1=SIGN($C$80)*SIGN($C$81),,$C$80+$B$80*(-1=SIGN($C$80)*SIGN($B$80))))</f>
        <v>#REF!</v>
      </c>
      <c r="F80" s="65" t="e">
        <f>IF(NOT(($D$80)=""), ,IF(AND($B$80&gt;=0,$C$81&gt;0),$B$80*($C$80&gt;=0)+$C$81*($C$80&lt;0),))</f>
        <v>#REF!</v>
      </c>
      <c r="G80" s="65" t="e">
        <f>IF(NOT(($D$80)=""),,IF(AND($B$80&gt;=0,$C$80&lt;0),-$B$80*($C$81&lt;=0)+$C$80*($C$81&gt;0),))</f>
        <v>#REF!</v>
      </c>
      <c r="H80" s="65" t="e">
        <f>IF(NOT(($D$80)=""), ,IF(AND($B$80&lt;=0,$C$80&gt;0),-$B$80*($C$81&gt;=0)+$C$80*($C$81&lt;0), ))</f>
        <v>#REF!</v>
      </c>
      <c r="I80" s="65" t="e">
        <f>IF(NOT(($D$80)=""), ,IF(AND($B$80&lt;=0,$C$81&lt;0),$B$80*($C$80&lt;=0)+$C$81*($C$80&gt;0), ))</f>
        <v>#REF!</v>
      </c>
      <c r="J80" s="65" t="e">
        <f>$E$80+($F$80+$G$80+$H$80+$I$80)/2</f>
        <v>#REF!</v>
      </c>
      <c r="K80" s="65" t="e">
        <f>$F$80-$G$80-$H$80+$I$80</f>
        <v>#REF!</v>
      </c>
      <c r="L80" s="65"/>
      <c r="M80" s="65"/>
      <c r="N80" s="65"/>
      <c r="O80" s="47" t="e">
        <f>IF(NOT(($D$80)=""),"",$C$80+$B$80)</f>
        <v>#REF!</v>
      </c>
      <c r="P80" s="47" t="e">
        <f>IF(NOT(($D$80)=""),"",IF($B$80 &lt; 0,"",$B$80))</f>
        <v>#REF!</v>
      </c>
      <c r="Q80" s="47" t="e">
        <f>IF(NOT(($D$80)=""),"",IF($B$80&gt;=0,"",$B$80))</f>
        <v>#REF!</v>
      </c>
    </row>
    <row r="81" spans="1:17">
      <c r="B81" s="47" t="e">
        <f>#REF!</f>
        <v>#REF!</v>
      </c>
      <c r="C81" s="47" t="e">
        <f>IF(($D$80)="",$C$80+$B$80,$B$80)</f>
        <v>#REF!</v>
      </c>
      <c r="D81" s="65" t="e">
        <f>$B$81</f>
        <v>#REF!</v>
      </c>
      <c r="E81" s="65" t="e">
        <f>IF(NOT(($D$81)=""), ,IF(-1=SIGN($C$81)*SIGN($C$82),,$C$81+$B$81*(-1=SIGN($C$81)*SIGN($B$81))))</f>
        <v>#REF!</v>
      </c>
      <c r="F81" s="65" t="e">
        <f>IF(NOT(($D$81)=""), ,IF(AND($B$81&gt;=0,$C$82&gt;0),$B$81*($C$81&gt;=0)+$C$82*($C$81&lt;0),))</f>
        <v>#REF!</v>
      </c>
      <c r="G81" s="65" t="e">
        <f>IF(NOT(($D$81)=""),,IF(AND($B$81&gt;=0,$C$81&lt;0),-$B$81*($C$82&lt;=0)+$C$81*($C$82&gt;0),))</f>
        <v>#REF!</v>
      </c>
      <c r="H81" s="65" t="e">
        <f>IF(NOT(($D$81)=""), ,IF(AND($B$81&lt;=0,$C$81&gt;0),-$B$81*($C$82&gt;=0)+$C$81*($C$82&lt;0), ))</f>
        <v>#REF!</v>
      </c>
      <c r="I81" s="65" t="e">
        <f>IF(NOT(($D$81)=""), ,IF(AND($B$81&lt;=0,$C$82&lt;0),$B$81*($C$81&lt;=0)+$C$82*($C$81&gt;0), ))</f>
        <v>#REF!</v>
      </c>
      <c r="J81" s="65" t="e">
        <f>$E$81+($F$81+$G$81+$H$81+$I$81)/2</f>
        <v>#REF!</v>
      </c>
      <c r="K81" s="65" t="e">
        <f>$F$81-$G$81-$H$81+$I$81</f>
        <v>#REF!</v>
      </c>
      <c r="L81" s="65"/>
      <c r="M81" s="65"/>
      <c r="N81" s="65"/>
      <c r="O81" s="47" t="e">
        <f>IF(NOT(($D$81)=""),"",$C$81+$B$81)</f>
        <v>#REF!</v>
      </c>
      <c r="P81" s="47" t="e">
        <f>IF(NOT(($D$81)=""),"",IF($B$81 &lt; 0,"",$B$81))</f>
        <v>#REF!</v>
      </c>
      <c r="Q81" s="47" t="e">
        <f>IF(NOT(($D$81)=""),"",IF($B$81&gt;=0,"",$B$81))</f>
        <v>#REF!</v>
      </c>
    </row>
    <row r="82" spans="1:17">
      <c r="B82" s="47" t="e">
        <f>#REF!</f>
        <v>#REF!</v>
      </c>
      <c r="C82" s="47" t="e">
        <f>IF(($D$81)="",$C$81+$B$81,$B$81)</f>
        <v>#REF!</v>
      </c>
      <c r="D82" s="65"/>
      <c r="E82" s="65" t="e">
        <f>IF(NOT(($D$82)=""), ,IF(-1=SIGN($C$82)*SIGN($C$83),,$C$82+$B$82*(-1=SIGN($C$82)*SIGN($B$82))))</f>
        <v>#REF!</v>
      </c>
      <c r="F82" s="65" t="e">
        <f>IF(NOT(($D$82)=""), ,IF(AND($B$82&gt;=0,$C$83&gt;0),$B$82*($C$82&gt;=0)+$C$83*($C$82&lt;0),))</f>
        <v>#REF!</v>
      </c>
      <c r="G82" s="65" t="e">
        <f>IF(NOT(($D$82)=""),,IF(AND($B$82&gt;=0,$C$82&lt;0),-$B$82*($C$83&lt;=0)+$C$82*($C$83&gt;0),))</f>
        <v>#REF!</v>
      </c>
      <c r="H82" s="65" t="e">
        <f>IF(NOT(($D$82)=""), ,IF(AND($B$82&lt;=0,$C$82&gt;0),-$B$82*($C$83&gt;=0)+$C$82*($C$83&lt;0), ))</f>
        <v>#REF!</v>
      </c>
      <c r="I82" s="65" t="e">
        <f>IF(NOT(($D$82)=""), ,IF(AND($B$82&lt;=0,$C$83&lt;0),$B$82*($C$82&lt;=0)+$C$83*($C$82&gt;0), ))</f>
        <v>#REF!</v>
      </c>
      <c r="J82" s="65" t="e">
        <f>$E$82+($F$82+$G$82+$H$82+$I$82)/2</f>
        <v>#REF!</v>
      </c>
      <c r="K82" s="65" t="e">
        <f>$F$82-$G$82-$H$82+$I$82</f>
        <v>#REF!</v>
      </c>
      <c r="L82" s="65"/>
      <c r="M82" s="65"/>
      <c r="N82" s="65"/>
      <c r="O82" s="47" t="e">
        <f>IF(NOT(($D$82)=""),"",$C$82+$B$82)</f>
        <v>#REF!</v>
      </c>
      <c r="P82" s="47" t="e">
        <f>IF(NOT(($D$82)=""),"",IF($B$82 &lt; 0,"",$B$82))</f>
        <v>#REF!</v>
      </c>
      <c r="Q82" s="47" t="e">
        <f>IF(NOT(($D$82)=""),"",IF($B$82&gt;=0,"",$B$82))</f>
        <v>#REF!</v>
      </c>
    </row>
    <row r="83" spans="1:17">
      <c r="B83" s="47" t="e">
        <f>#REF!</f>
        <v>#REF!</v>
      </c>
      <c r="C83" s="47" t="e">
        <f>IF(($D$82)="",$C$82+$B$82,$B$82)</f>
        <v>#REF!</v>
      </c>
      <c r="D83" s="65"/>
      <c r="E83" s="65" t="e">
        <f>IF(NOT(($D$83)=""), ,IF(-1=SIGN($C$83)*SIGN($C$84),,$C$83+$B$83*(-1=SIGN($C$83)*SIGN($B$83))))</f>
        <v>#REF!</v>
      </c>
      <c r="F83" s="65" t="e">
        <f>IF(NOT(($D$83)=""), ,IF(AND($B$83&gt;=0,$C$84&gt;0),$B$83*($C$83&gt;=0)+$C$84*($C$83&lt;0),))</f>
        <v>#REF!</v>
      </c>
      <c r="G83" s="65" t="e">
        <f>IF(NOT(($D$83)=""),,IF(AND($B$83&gt;=0,$C$83&lt;0),-$B$83*($C$84&lt;=0)+$C$83*($C$84&gt;0),))</f>
        <v>#REF!</v>
      </c>
      <c r="H83" s="65" t="e">
        <f>IF(NOT(($D$83)=""), ,IF(AND($B$83&lt;=0,$C$83&gt;0),-$B$83*($C$84&gt;=0)+$C$83*($C$84&lt;0), ))</f>
        <v>#REF!</v>
      </c>
      <c r="I83" s="65" t="e">
        <f>IF(NOT(($D$83)=""), ,IF(AND($B$83&lt;=0,$C$84&lt;0),$B$83*($C$83&lt;=0)+$C$84*($C$83&gt;0), ))</f>
        <v>#REF!</v>
      </c>
      <c r="J83" s="65" t="e">
        <f>$E$83+($F$83+$G$83+$H$83+$I$83)/2</f>
        <v>#REF!</v>
      </c>
      <c r="K83" s="65" t="e">
        <f>$F$83-$G$83-$H$83+$I$83</f>
        <v>#REF!</v>
      </c>
      <c r="L83" s="65"/>
      <c r="M83" s="65"/>
      <c r="N83" s="65"/>
      <c r="O83" s="47" t="e">
        <f>IF(NOT(($D$83)=""),"",$C$83+$B$83)</f>
        <v>#REF!</v>
      </c>
      <c r="P83" s="47" t="e">
        <f>IF(NOT(($D$83)=""),"",IF($B$83 &lt; 0,"",$B$83))</f>
        <v>#REF!</v>
      </c>
      <c r="Q83" s="47" t="e">
        <f>IF(NOT(($D$83)=""),"",IF($B$83&gt;=0,"",$B$83))</f>
        <v>#REF!</v>
      </c>
    </row>
    <row r="84" spans="1:17">
      <c r="B84" s="47" t="e">
        <f>#REF!</f>
        <v>#REF!</v>
      </c>
      <c r="C84" s="47" t="e">
        <f>IF(($D$83)="",$C$83+$B$83,$B$83)</f>
        <v>#REF!</v>
      </c>
      <c r="D84" s="65"/>
      <c r="E84" s="65" t="e">
        <f>IF(NOT(($D$84)=""), ,IF(-1=SIGN($C$84)*SIGN($C$85),,$C$84+$B$84*(-1=SIGN($C$84)*SIGN($B$84))))</f>
        <v>#REF!</v>
      </c>
      <c r="F84" s="65" t="e">
        <f>IF(NOT(($D$84)=""), ,IF(AND($B$84&gt;=0,$C$85&gt;0),$B$84*($C$84&gt;=0)+$C$85*($C$84&lt;0),))</f>
        <v>#REF!</v>
      </c>
      <c r="G84" s="65" t="e">
        <f>IF(NOT(($D$84)=""),,IF(AND($B$84&gt;=0,$C$84&lt;0),-$B$84*($C$85&lt;=0)+$C$84*($C$85&gt;0),))</f>
        <v>#REF!</v>
      </c>
      <c r="H84" s="65" t="e">
        <f>IF(NOT(($D$84)=""), ,IF(AND($B$84&lt;=0,$C$84&gt;0),-$B$84*($C$85&gt;=0)+$C$84*($C$85&lt;0), ))</f>
        <v>#REF!</v>
      </c>
      <c r="I84" s="65" t="e">
        <f>IF(NOT(($D$84)=""), ,IF(AND($B$84&lt;=0,$C$85&lt;0),$B$84*($C$84&lt;=0)+$C$85*($C$84&gt;0), ))</f>
        <v>#REF!</v>
      </c>
      <c r="J84" s="65" t="e">
        <f>$E$84+($F$84+$G$84+$H$84+$I$84)/2</f>
        <v>#REF!</v>
      </c>
      <c r="K84" s="65" t="e">
        <f>$F$84-$G$84-$H$84+$I$84</f>
        <v>#REF!</v>
      </c>
      <c r="L84" s="65"/>
      <c r="M84" s="65"/>
      <c r="N84" s="65"/>
      <c r="O84" s="47" t="e">
        <f>IF(NOT(($D$84)=""),"",$C$84+$B$84)</f>
        <v>#REF!</v>
      </c>
      <c r="P84" s="47" t="e">
        <f>IF(NOT(($D$84)=""),"",IF($B$84 &lt; 0,"",$B$84))</f>
        <v>#REF!</v>
      </c>
      <c r="Q84" s="47" t="e">
        <f>IF(NOT(($D$84)=""),"",IF($B$84&gt;=0,"",$B$84))</f>
        <v>#REF!</v>
      </c>
    </row>
    <row r="85" spans="1:17">
      <c r="B85" s="47" t="e">
        <f>#REF!</f>
        <v>#REF!</v>
      </c>
      <c r="C85" s="47" t="e">
        <f>IF(($D$84)="",$C$84+$B$84,$B$84)</f>
        <v>#REF!</v>
      </c>
      <c r="D85" s="65"/>
      <c r="E85" s="65" t="e">
        <f>IF(NOT(($D$85)=""), ,IF(-1=SIGN($C$85)*SIGN($C$86),,$C$85+$B$85*(-1=SIGN($C$85)*SIGN($B$85))))</f>
        <v>#REF!</v>
      </c>
      <c r="F85" s="65" t="e">
        <f>IF(NOT(($D$85)=""), ,IF(AND($B$85&gt;=0,$C$86&gt;0),$B$85*($C$85&gt;=0)+$C$86*($C$85&lt;0),))</f>
        <v>#REF!</v>
      </c>
      <c r="G85" s="65" t="e">
        <f>IF(NOT(($D$85)=""),,IF(AND($B$85&gt;=0,$C$85&lt;0),-$B$85*($C$86&lt;=0)+$C$85*($C$86&gt;0),))</f>
        <v>#REF!</v>
      </c>
      <c r="H85" s="65" t="e">
        <f>IF(NOT(($D$85)=""), ,IF(AND($B$85&lt;=0,$C$85&gt;0),-$B$85*($C$86&gt;=0)+$C$85*($C$86&lt;0), ))</f>
        <v>#REF!</v>
      </c>
      <c r="I85" s="65" t="e">
        <f>IF(NOT(($D$85)=""), ,IF(AND($B$85&lt;=0,$C$86&lt;0),$B$85*($C$85&lt;=0)+$C$86*($C$85&gt;0), ))</f>
        <v>#REF!</v>
      </c>
      <c r="J85" s="65" t="e">
        <f>$E$85+($F$85+$G$85+$H$85+$I$85)/2</f>
        <v>#REF!</v>
      </c>
      <c r="K85" s="65" t="e">
        <f>$F$85-$G$85-$H$85+$I$85</f>
        <v>#REF!</v>
      </c>
      <c r="L85" s="65"/>
      <c r="M85" s="65"/>
      <c r="N85" s="65"/>
      <c r="O85" s="47" t="e">
        <f>IF(NOT(($D$85)=""),"",$C$85+$B$85)</f>
        <v>#REF!</v>
      </c>
      <c r="P85" s="47" t="e">
        <f>IF(NOT(($D$85)=""),"",IF($B$85 &lt; 0,"",$B$85))</f>
        <v>#REF!</v>
      </c>
      <c r="Q85" s="47" t="e">
        <f>IF(NOT(($D$85)=""),"",IF($B$85&gt;=0,"",$B$85))</f>
        <v>#REF!</v>
      </c>
    </row>
    <row r="86" spans="1:17">
      <c r="B86" s="47" t="e">
        <f>#REF!</f>
        <v>#REF!</v>
      </c>
      <c r="C86" s="47" t="e">
        <f>IF(($D$85)="",$C$85+$B$85,$B$85)</f>
        <v>#REF!</v>
      </c>
      <c r="D86" s="65" t="e">
        <f>$B$86</f>
        <v>#REF!</v>
      </c>
      <c r="E86" s="65" t="e">
        <f>IF(NOT(($D$86)=""), ,IF(-1=SIGN($C$86)*SIGN($C$87),,$C$86+$B$86*(-1=SIGN($C$86)*SIGN($B$86))))</f>
        <v>#REF!</v>
      </c>
      <c r="F86" s="65" t="e">
        <f>IF(NOT(($D$86)=""), ,IF(AND($B$86&gt;=0,$C$87&gt;0),$B$86*($C$86&gt;=0)+$C$87*($C$86&lt;0),))</f>
        <v>#REF!</v>
      </c>
      <c r="G86" s="65" t="e">
        <f>IF(NOT(($D$86)=""),,IF(AND($B$86&gt;=0,$C$86&lt;0),-$B$86*($C$87&lt;=0)+$C$86*($C$87&gt;0),))</f>
        <v>#REF!</v>
      </c>
      <c r="H86" s="65" t="e">
        <f>IF(NOT(($D$86)=""), ,IF(AND($B$86&lt;=0,$C$86&gt;0),-$B$86*($C$87&gt;=0)+$C$86*($C$87&lt;0), ))</f>
        <v>#REF!</v>
      </c>
      <c r="I86" s="65" t="e">
        <f>IF(NOT(($D$86)=""), ,IF(AND($B$86&lt;=0,$C$87&lt;0),$B$86*($C$86&lt;=0)+$C$87*($C$86&gt;0), ))</f>
        <v>#REF!</v>
      </c>
      <c r="J86" s="65" t="e">
        <f>$E$86+($F$86+$G$86+$H$86+$I$86)/2</f>
        <v>#REF!</v>
      </c>
      <c r="K86" s="65" t="e">
        <f>$F$86-$G$86-$H$86+$I$86</f>
        <v>#REF!</v>
      </c>
      <c r="L86" s="65"/>
      <c r="M86" s="65"/>
      <c r="N86" s="65"/>
      <c r="O86" s="47" t="e">
        <f>IF(NOT(($D$86)=""),"",$C$86+$B$86)</f>
        <v>#REF!</v>
      </c>
      <c r="P86" s="47" t="e">
        <f>IF(NOT(($D$86)=""),"",IF($B$86 &lt; 0,"",$B$86))</f>
        <v>#REF!</v>
      </c>
      <c r="Q86" s="47" t="e">
        <f>IF(NOT(($D$86)=""),"",IF($B$86&gt;=0,"",$B$86))</f>
        <v>#REF!</v>
      </c>
    </row>
    <row r="87" spans="1:17">
      <c r="B87" s="47" t="e">
        <f>#REF!</f>
        <v>#REF!</v>
      </c>
      <c r="C87" s="47" t="e">
        <f>IF(($D$86)="",$C$86+$B$86,$B$86)</f>
        <v>#REF!</v>
      </c>
      <c r="D87" s="65"/>
      <c r="E87" s="65" t="e">
        <f>IF(NOT(($D$87)=""), ,IF(-1=SIGN($C$87)*SIGN($C$88),,$C$87+$B$87*(-1=SIGN($C$87)*SIGN($B$87))))</f>
        <v>#REF!</v>
      </c>
      <c r="F87" s="65" t="e">
        <f>IF(NOT(($D$87)=""), ,IF(AND($B$87&gt;=0,$C$88&gt;0),$B$87*($C$87&gt;=0)+$C$88*($C$87&lt;0),))</f>
        <v>#REF!</v>
      </c>
      <c r="G87" s="65" t="e">
        <f>IF(NOT(($D$87)=""),,IF(AND($B$87&gt;=0,$C$87&lt;0),-$B$87*($C$88&lt;=0)+$C$87*($C$88&gt;0),))</f>
        <v>#REF!</v>
      </c>
      <c r="H87" s="65" t="e">
        <f>IF(NOT(($D$87)=""), ,IF(AND($B$87&lt;=0,$C$87&gt;0),-$B$87*($C$88&gt;=0)+$C$87*($C$88&lt;0), ))</f>
        <v>#REF!</v>
      </c>
      <c r="I87" s="65" t="e">
        <f>IF(NOT(($D$87)=""), ,IF(AND($B$87&lt;=0,$C$88&lt;0),$B$87*($C$87&lt;=0)+$C$88*($C$87&gt;0), ))</f>
        <v>#REF!</v>
      </c>
      <c r="J87" s="65" t="e">
        <f>$E$87+($F$87+$G$87+$H$87+$I$87)/2</f>
        <v>#REF!</v>
      </c>
      <c r="K87" s="65" t="e">
        <f>$F$87-$G$87-$H$87+$I$87</f>
        <v>#REF!</v>
      </c>
      <c r="L87" s="65"/>
      <c r="M87" s="65"/>
      <c r="N87" s="65"/>
      <c r="O87" s="47" t="e">
        <f>IF(NOT(($D$87)=""),"",$C$87+$B$87)</f>
        <v>#REF!</v>
      </c>
      <c r="P87" s="47" t="e">
        <f>IF(NOT(($D$87)=""),"",IF($B$87 &lt; 0,"",$B$87))</f>
        <v>#REF!</v>
      </c>
      <c r="Q87" s="47" t="e">
        <f>IF(NOT(($D$87)=""),"",IF($B$87&gt;=0,"",$B$87))</f>
        <v>#REF!</v>
      </c>
    </row>
    <row r="88" spans="1:17">
      <c r="B88" s="47" t="e">
        <f>#REF!</f>
        <v>#REF!</v>
      </c>
      <c r="C88" s="47" t="e">
        <f>IF(($D$87)="",$C$87+$B$87,$B$87)</f>
        <v>#REF!</v>
      </c>
      <c r="D88" s="65"/>
      <c r="E88" s="65" t="e">
        <f>IF(NOT(($D$88)=""), ,IF(-1=SIGN($C$88)*SIGN($C$89),,$C$88+$B$88*(-1=SIGN($C$88)*SIGN($B$88))))</f>
        <v>#REF!</v>
      </c>
      <c r="F88" s="65" t="e">
        <f>IF(NOT(($D$88)=""), ,IF(AND($B$88&gt;=0,$C$89&gt;0),$B$88*($C$88&gt;=0)+$C$89*($C$88&lt;0),))</f>
        <v>#REF!</v>
      </c>
      <c r="G88" s="65" t="e">
        <f>IF(NOT(($D$88)=""),,IF(AND($B$88&gt;=0,$C$88&lt;0),-$B$88*($C$89&lt;=0)+$C$88*($C$89&gt;0),))</f>
        <v>#REF!</v>
      </c>
      <c r="H88" s="65" t="e">
        <f>IF(NOT(($D$88)=""), ,IF(AND($B$88&lt;=0,$C$88&gt;0),-$B$88*($C$89&gt;=0)+$C$88*($C$89&lt;0), ))</f>
        <v>#REF!</v>
      </c>
      <c r="I88" s="65" t="e">
        <f>IF(NOT(($D$88)=""), ,IF(AND($B$88&lt;=0,$C$89&lt;0),$B$88*($C$88&lt;=0)+$C$89*($C$88&gt;0), ))</f>
        <v>#REF!</v>
      </c>
      <c r="J88" s="65" t="e">
        <f>$E$88+($F$88+$G$88+$H$88+$I$88)/2</f>
        <v>#REF!</v>
      </c>
      <c r="K88" s="65" t="e">
        <f>$F$88-$G$88-$H$88+$I$88</f>
        <v>#REF!</v>
      </c>
      <c r="L88" s="65"/>
      <c r="M88" s="65"/>
      <c r="N88" s="65"/>
      <c r="O88" s="47" t="e">
        <f>IF(NOT(($D$88)=""),"",$C$88+$B$88)</f>
        <v>#REF!</v>
      </c>
      <c r="P88" s="47" t="e">
        <f>IF(NOT(($D$88)=""),"",IF($B$88 &lt; 0,"",$B$88))</f>
        <v>#REF!</v>
      </c>
      <c r="Q88" s="47" t="e">
        <f>IF(NOT(($D$88)=""),"",IF($B$88&gt;=0,"",$B$88))</f>
        <v>#REF!</v>
      </c>
    </row>
    <row r="89" spans="1:17">
      <c r="B89" s="47" t="e">
        <f>#REF!</f>
        <v>#REF!</v>
      </c>
      <c r="C89" s="47" t="e">
        <f>IF(($D$88)="",$C$88+$B$88,$B$88)</f>
        <v>#REF!</v>
      </c>
      <c r="D89" s="65"/>
      <c r="E89" s="65" t="e">
        <f>IF(NOT(($D$89)=""), ,IF(-1=SIGN($C$89)*SIGN($C$90),,$C$89+$B$89*(-1=SIGN($C$89)*SIGN($B$89))))</f>
        <v>#REF!</v>
      </c>
      <c r="F89" s="65" t="e">
        <f>IF(NOT(($D$89)=""), ,IF(AND($B$89&gt;=0,$C$90&gt;0),$B$89*($C$89&gt;=0)+$C$90*($C$89&lt;0),))</f>
        <v>#REF!</v>
      </c>
      <c r="G89" s="65" t="e">
        <f>IF(NOT(($D$89)=""),,IF(AND($B$89&gt;=0,$C$89&lt;0),-$B$89*($C$90&lt;=0)+$C$89*($C$90&gt;0),))</f>
        <v>#REF!</v>
      </c>
      <c r="H89" s="65" t="e">
        <f>IF(NOT(($D$89)=""), ,IF(AND($B$89&lt;=0,$C$89&gt;0),-$B$89*($C$90&gt;=0)+$C$89*($C$90&lt;0), ))</f>
        <v>#REF!</v>
      </c>
      <c r="I89" s="65" t="e">
        <f>IF(NOT(($D$89)=""), ,IF(AND($B$89&lt;=0,$C$90&lt;0),$B$89*($C$89&lt;=0)+$C$90*($C$89&gt;0), ))</f>
        <v>#REF!</v>
      </c>
      <c r="J89" s="65" t="e">
        <f>$E$89+($F$89+$G$89+$H$89+$I$89)/2</f>
        <v>#REF!</v>
      </c>
      <c r="K89" s="65" t="e">
        <f>$F$89-$G$89-$H$89+$I$89</f>
        <v>#REF!</v>
      </c>
      <c r="L89" s="65"/>
      <c r="M89" s="65"/>
      <c r="N89" s="65"/>
      <c r="O89" s="47" t="e">
        <f>IF(NOT(($D$89)=""),"",$C$89+$B$89)</f>
        <v>#REF!</v>
      </c>
      <c r="P89" s="47" t="e">
        <f>IF(NOT(($D$89)=""),"",IF($B$89 &lt; 0,"",$B$89))</f>
        <v>#REF!</v>
      </c>
      <c r="Q89" s="47" t="e">
        <f>IF(NOT(($D$89)=""),"",IF($B$89&gt;=0,"",$B$89))</f>
        <v>#REF!</v>
      </c>
    </row>
    <row r="90" spans="1:17">
      <c r="B90" s="47" t="e">
        <f>#REF!</f>
        <v>#REF!</v>
      </c>
      <c r="C90" s="47" t="e">
        <f>IF(($D$89)="",$C$89+$B$89,$B$89)</f>
        <v>#REF!</v>
      </c>
      <c r="D90" s="65" t="e">
        <f>$B$90</f>
        <v>#REF!</v>
      </c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47"/>
      <c r="P90" s="47"/>
      <c r="Q90" s="47"/>
    </row>
    <row r="92" spans="1:17">
      <c r="A92" s="45">
        <v>7</v>
      </c>
      <c r="B92" s="46" t="e">
        <f>#REF!</f>
        <v>#REF!</v>
      </c>
      <c r="C92" s="46"/>
      <c r="D92" s="65" t="e">
        <f>$B$92</f>
        <v>#REF!</v>
      </c>
      <c r="E92" s="65"/>
      <c r="F92" s="65"/>
      <c r="G92" s="65"/>
      <c r="H92" s="65"/>
      <c r="I92" s="65"/>
      <c r="J92" s="65"/>
      <c r="K92" s="65"/>
      <c r="L92" s="65" t="e">
        <f>IF(MAX($C$92:$C$109,$B$109)-MIN($C$92:$C$109,$B$109)=0,0,ROUNDDOWN(IF(MIN($C$92:$C$109,$B$109)&gt;0,MAX(0,MIN($C$92:$C$109,$B$109)-ABS(MAX($C$92:$C$109,$B$109)-MIN($C$92:$C$109,$B$109))/5),IF(MAX($C$92:$C$109,$B$109)&gt;0,0,MIN(0,MAX($C$92:$C$109,$B$109)+ABS(MAX($C$92:$C$109,$B$109)-MIN($C$92:$C$109,$B$109))/5)))/10^(INT(LOG10(MAX($C$92:$C$109,$B$109)-MIN($C$92:$C$109,$B$109)))),0)*10^(INT(LOG10(MAX($C$92:$C$109,$B$109)-MIN($C$92:$C$109,$B$109)))))</f>
        <v>#REF!</v>
      </c>
      <c r="M92" s="65"/>
      <c r="N92" s="65"/>
      <c r="O92" s="46"/>
      <c r="P92" s="46"/>
      <c r="Q92" s="46"/>
    </row>
    <row r="93" spans="1:17">
      <c r="B93" s="46" t="e">
        <f>#REF!</f>
        <v>#REF!</v>
      </c>
      <c r="C93" s="46" t="e">
        <f>$B$92</f>
        <v>#REF!</v>
      </c>
      <c r="D93" s="65"/>
      <c r="E93" s="65" t="e">
        <f>IF(NOT(($D$93)=""), ,IF(-1=SIGN($C$93)*SIGN($C$94),,$C$93+$B$93*(-1=SIGN($C$93)*SIGN($B$93))))</f>
        <v>#REF!</v>
      </c>
      <c r="F93" s="65" t="e">
        <f>IF(NOT(($D$93)=""), ,IF(AND($B$93&gt;=0,$C$94&gt;0),$B$93*($C$93&gt;=0)+$C$94*($C$93&lt;0),))</f>
        <v>#REF!</v>
      </c>
      <c r="G93" s="65" t="e">
        <f>IF(NOT(($D$93)=""),,IF(AND($B$93&gt;=0,$C$93&lt;0),-$B$93*($C$94&lt;=0)+$C$93*($C$94&gt;0),))</f>
        <v>#REF!</v>
      </c>
      <c r="H93" s="65" t="e">
        <f>IF(NOT(($D$93)=""), ,IF(AND($B$93&lt;=0,$C$93&gt;0),-$B$93*($C$94&gt;=0)+$C$93*($C$94&lt;0), ))</f>
        <v>#REF!</v>
      </c>
      <c r="I93" s="65" t="e">
        <f>IF(NOT(($D$93)=""), ,IF(AND($B$93&lt;=0,$C$94&lt;0),$B$93*($C$93&lt;=0)+$C$94*($C$93&gt;0), ))</f>
        <v>#REF!</v>
      </c>
      <c r="J93" s="65" t="e">
        <f>$E$93+($F$93+$G$93+$H$93+$I$93)/2</f>
        <v>#REF!</v>
      </c>
      <c r="K93" s="65" t="e">
        <f>$F$93-$G$93-$H$93+$I$93</f>
        <v>#REF!</v>
      </c>
      <c r="L93" s="65"/>
      <c r="M93" s="65"/>
      <c r="N93" s="65"/>
      <c r="O93" s="46" t="e">
        <f>IF(NOT(($D$93)=""),"",$C$93+$B$93)</f>
        <v>#REF!</v>
      </c>
      <c r="P93" s="46" t="e">
        <f>IF(NOT(($D$93)=""),"",IF($B$93 &lt; 0,"",$B$93))</f>
        <v>#REF!</v>
      </c>
      <c r="Q93" s="46" t="e">
        <f>IF(NOT(($D$93)=""),"",IF($B$93&gt;=0,"",$B$93))</f>
        <v>#REF!</v>
      </c>
    </row>
    <row r="94" spans="1:17">
      <c r="B94" s="46" t="e">
        <f>#REF!</f>
        <v>#REF!</v>
      </c>
      <c r="C94" s="46" t="e">
        <f>IF(($D$93)="",$C$93+$B$93,$B$93)</f>
        <v>#REF!</v>
      </c>
      <c r="D94" s="65"/>
      <c r="E94" s="65" t="e">
        <f>IF(NOT(($D$94)=""), ,IF(-1=SIGN($C$94)*SIGN($C$95),,$C$94+$B$94*(-1=SIGN($C$94)*SIGN($B$94))))</f>
        <v>#REF!</v>
      </c>
      <c r="F94" s="65" t="e">
        <f>IF(NOT(($D$94)=""), ,IF(AND($B$94&gt;=0,$C$95&gt;0),$B$94*($C$94&gt;=0)+$C$95*($C$94&lt;0),))</f>
        <v>#REF!</v>
      </c>
      <c r="G94" s="65" t="e">
        <f>IF(NOT(($D$94)=""),,IF(AND($B$94&gt;=0,$C$94&lt;0),-$B$94*($C$95&lt;=0)+$C$94*($C$95&gt;0),))</f>
        <v>#REF!</v>
      </c>
      <c r="H94" s="65" t="e">
        <f>IF(NOT(($D$94)=""), ,IF(AND($B$94&lt;=0,$C$94&gt;0),-$B$94*($C$95&gt;=0)+$C$94*($C$95&lt;0), ))</f>
        <v>#REF!</v>
      </c>
      <c r="I94" s="65" t="e">
        <f>IF(NOT(($D$94)=""), ,IF(AND($B$94&lt;=0,$C$95&lt;0),$B$94*($C$94&lt;=0)+$C$95*($C$94&gt;0), ))</f>
        <v>#REF!</v>
      </c>
      <c r="J94" s="65" t="e">
        <f>$E$94+($F$94+$G$94+$H$94+$I$94)/2</f>
        <v>#REF!</v>
      </c>
      <c r="K94" s="65" t="e">
        <f>$F$94-$G$94-$H$94+$I$94</f>
        <v>#REF!</v>
      </c>
      <c r="L94" s="65"/>
      <c r="M94" s="65"/>
      <c r="N94" s="65"/>
      <c r="O94" s="46" t="e">
        <f>IF(NOT(($D$94)=""),"",$C$94+$B$94)</f>
        <v>#REF!</v>
      </c>
      <c r="P94" s="46" t="e">
        <f>IF(NOT(($D$94)=""),"",IF($B$94 &lt; 0,"",$B$94))</f>
        <v>#REF!</v>
      </c>
      <c r="Q94" s="46" t="e">
        <f>IF(NOT(($D$94)=""),"",IF($B$94&gt;=0,"",$B$94))</f>
        <v>#REF!</v>
      </c>
    </row>
    <row r="95" spans="1:17">
      <c r="B95" s="46" t="e">
        <f>#REF!</f>
        <v>#REF!</v>
      </c>
      <c r="C95" s="46" t="e">
        <f>IF(($D$94)="",$C$94+$B$94,$B$94)</f>
        <v>#REF!</v>
      </c>
      <c r="D95" s="65"/>
      <c r="E95" s="65" t="e">
        <f>IF(NOT(($D$95)=""), ,IF(-1=SIGN($C$95)*SIGN($C$96),,$C$95+$B$95*(-1=SIGN($C$95)*SIGN($B$95))))</f>
        <v>#REF!</v>
      </c>
      <c r="F95" s="65" t="e">
        <f>IF(NOT(($D$95)=""), ,IF(AND($B$95&gt;=0,$C$96&gt;0),$B$95*($C$95&gt;=0)+$C$96*($C$95&lt;0),))</f>
        <v>#REF!</v>
      </c>
      <c r="G95" s="65" t="e">
        <f>IF(NOT(($D$95)=""),,IF(AND($B$95&gt;=0,$C$95&lt;0),-$B$95*($C$96&lt;=0)+$C$95*($C$96&gt;0),))</f>
        <v>#REF!</v>
      </c>
      <c r="H95" s="65" t="e">
        <f>IF(NOT(($D$95)=""), ,IF(AND($B$95&lt;=0,$C$95&gt;0),-$B$95*($C$96&gt;=0)+$C$95*($C$96&lt;0), ))</f>
        <v>#REF!</v>
      </c>
      <c r="I95" s="65" t="e">
        <f>IF(NOT(($D$95)=""), ,IF(AND($B$95&lt;=0,$C$96&lt;0),$B$95*($C$95&lt;=0)+$C$96*($C$95&gt;0), ))</f>
        <v>#REF!</v>
      </c>
      <c r="J95" s="65" t="e">
        <f>$E$95+($F$95+$G$95+$H$95+$I$95)/2</f>
        <v>#REF!</v>
      </c>
      <c r="K95" s="65" t="e">
        <f>$F$95-$G$95-$H$95+$I$95</f>
        <v>#REF!</v>
      </c>
      <c r="L95" s="65"/>
      <c r="M95" s="65"/>
      <c r="N95" s="65"/>
      <c r="O95" s="46" t="e">
        <f>IF(NOT(($D$95)=""),"",$C$95+$B$95)</f>
        <v>#REF!</v>
      </c>
      <c r="P95" s="46" t="e">
        <f>IF(NOT(($D$95)=""),"",IF($B$95 &lt; 0,"",$B$95))</f>
        <v>#REF!</v>
      </c>
      <c r="Q95" s="46" t="e">
        <f>IF(NOT(($D$95)=""),"",IF($B$95&gt;=0,"",$B$95))</f>
        <v>#REF!</v>
      </c>
    </row>
    <row r="96" spans="1:17">
      <c r="B96" s="46" t="e">
        <f>#REF!</f>
        <v>#REF!</v>
      </c>
      <c r="C96" s="46" t="e">
        <f>IF(($D$95)="",$C$95+$B$95,$B$95)</f>
        <v>#REF!</v>
      </c>
      <c r="D96" s="65"/>
      <c r="E96" s="65" t="e">
        <f>IF(NOT(($D$96)=""), ,IF(-1=SIGN($C$96)*SIGN($C$97),,$C$96+$B$96*(-1=SIGN($C$96)*SIGN($B$96))))</f>
        <v>#REF!</v>
      </c>
      <c r="F96" s="65" t="e">
        <f>IF(NOT(($D$96)=""), ,IF(AND($B$96&gt;=0,$C$97&gt;0),$B$96*($C$96&gt;=0)+$C$97*($C$96&lt;0),))</f>
        <v>#REF!</v>
      </c>
      <c r="G96" s="65" t="e">
        <f>IF(NOT(($D$96)=""),,IF(AND($B$96&gt;=0,$C$96&lt;0),-$B$96*($C$97&lt;=0)+$C$96*($C$97&gt;0),))</f>
        <v>#REF!</v>
      </c>
      <c r="H96" s="65" t="e">
        <f>IF(NOT(($D$96)=""), ,IF(AND($B$96&lt;=0,$C$96&gt;0),-$B$96*($C$97&gt;=0)+$C$96*($C$97&lt;0), ))</f>
        <v>#REF!</v>
      </c>
      <c r="I96" s="65" t="e">
        <f>IF(NOT(($D$96)=""), ,IF(AND($B$96&lt;=0,$C$97&lt;0),$B$96*($C$96&lt;=0)+$C$97*($C$96&gt;0), ))</f>
        <v>#REF!</v>
      </c>
      <c r="J96" s="65" t="e">
        <f>$E$96+($F$96+$G$96+$H$96+$I$96)/2</f>
        <v>#REF!</v>
      </c>
      <c r="K96" s="65" t="e">
        <f>$F$96-$G$96-$H$96+$I$96</f>
        <v>#REF!</v>
      </c>
      <c r="L96" s="65"/>
      <c r="M96" s="65"/>
      <c r="N96" s="65"/>
      <c r="O96" s="46" t="e">
        <f>IF(NOT(($D$96)=""),"",$C$96+$B$96)</f>
        <v>#REF!</v>
      </c>
      <c r="P96" s="46" t="e">
        <f>IF(NOT(($D$96)=""),"",IF($B$96 &lt; 0,"",$B$96))</f>
        <v>#REF!</v>
      </c>
      <c r="Q96" s="46" t="e">
        <f>IF(NOT(($D$96)=""),"",IF($B$96&gt;=0,"",$B$96))</f>
        <v>#REF!</v>
      </c>
    </row>
    <row r="97" spans="2:17">
      <c r="B97" s="46" t="e">
        <f>#REF!</f>
        <v>#REF!</v>
      </c>
      <c r="C97" s="46" t="e">
        <f>IF(($D$96)="",$C$96+$B$96,$B$96)</f>
        <v>#REF!</v>
      </c>
      <c r="D97" s="65"/>
      <c r="E97" s="65" t="e">
        <f>IF(NOT(($D$97)=""), ,IF(-1=SIGN($C$97)*SIGN($C$98),,$C$97+$B$97*(-1=SIGN($C$97)*SIGN($B$97))))</f>
        <v>#REF!</v>
      </c>
      <c r="F97" s="65" t="e">
        <f>IF(NOT(($D$97)=""), ,IF(AND($B$97&gt;=0,$C$98&gt;0),$B$97*($C$97&gt;=0)+$C$98*($C$97&lt;0),))</f>
        <v>#REF!</v>
      </c>
      <c r="G97" s="65" t="e">
        <f>IF(NOT(($D$97)=""),,IF(AND($B$97&gt;=0,$C$97&lt;0),-$B$97*($C$98&lt;=0)+$C$97*($C$98&gt;0),))</f>
        <v>#REF!</v>
      </c>
      <c r="H97" s="65" t="e">
        <f>IF(NOT(($D$97)=""), ,IF(AND($B$97&lt;=0,$C$97&gt;0),-$B$97*($C$98&gt;=0)+$C$97*($C$98&lt;0), ))</f>
        <v>#REF!</v>
      </c>
      <c r="I97" s="65" t="e">
        <f>IF(NOT(($D$97)=""), ,IF(AND($B$97&lt;=0,$C$98&lt;0),$B$97*($C$97&lt;=0)+$C$98*($C$97&gt;0), ))</f>
        <v>#REF!</v>
      </c>
      <c r="J97" s="65" t="e">
        <f>$E$97+($F$97+$G$97+$H$97+$I$97)/2</f>
        <v>#REF!</v>
      </c>
      <c r="K97" s="65" t="e">
        <f>$F$97-$G$97-$H$97+$I$97</f>
        <v>#REF!</v>
      </c>
      <c r="L97" s="65"/>
      <c r="M97" s="65"/>
      <c r="N97" s="65"/>
      <c r="O97" s="46" t="e">
        <f>IF(NOT(($D$97)=""),"",$C$97+$B$97)</f>
        <v>#REF!</v>
      </c>
      <c r="P97" s="46" t="e">
        <f>IF(NOT(($D$97)=""),"",IF($B$97 &lt; 0,"",$B$97))</f>
        <v>#REF!</v>
      </c>
      <c r="Q97" s="46" t="e">
        <f>IF(NOT(($D$97)=""),"",IF($B$97&gt;=0,"",$B$97))</f>
        <v>#REF!</v>
      </c>
    </row>
    <row r="98" spans="2:17">
      <c r="B98" s="46" t="e">
        <f>#REF!</f>
        <v>#REF!</v>
      </c>
      <c r="C98" s="46" t="e">
        <f>IF(($D$97)="",$C$97+$B$97,$B$97)</f>
        <v>#REF!</v>
      </c>
      <c r="D98" s="65" t="e">
        <f>$B$98</f>
        <v>#REF!</v>
      </c>
      <c r="E98" s="65" t="e">
        <f>IF(NOT(($D$98)=""), ,IF(-1=SIGN($C$98)*SIGN($C$99),,$C$98+$B$98*(-1=SIGN($C$98)*SIGN($B$98))))</f>
        <v>#REF!</v>
      </c>
      <c r="F98" s="65" t="e">
        <f>IF(NOT(($D$98)=""), ,IF(AND($B$98&gt;=0,$C$99&gt;0),$B$98*($C$98&gt;=0)+$C$99*($C$98&lt;0),))</f>
        <v>#REF!</v>
      </c>
      <c r="G98" s="65" t="e">
        <f>IF(NOT(($D$98)=""),,IF(AND($B$98&gt;=0,$C$98&lt;0),-$B$98*($C$99&lt;=0)+$C$98*($C$99&gt;0),))</f>
        <v>#REF!</v>
      </c>
      <c r="H98" s="65" t="e">
        <f>IF(NOT(($D$98)=""), ,IF(AND($B$98&lt;=0,$C$98&gt;0),-$B$98*($C$99&gt;=0)+$C$98*($C$99&lt;0), ))</f>
        <v>#REF!</v>
      </c>
      <c r="I98" s="65" t="e">
        <f>IF(NOT(($D$98)=""), ,IF(AND($B$98&lt;=0,$C$99&lt;0),$B$98*($C$98&lt;=0)+$C$99*($C$98&gt;0), ))</f>
        <v>#REF!</v>
      </c>
      <c r="J98" s="65" t="e">
        <f>$E$98+($F$98+$G$98+$H$98+$I$98)/2</f>
        <v>#REF!</v>
      </c>
      <c r="K98" s="65" t="e">
        <f>$F$98-$G$98-$H$98+$I$98</f>
        <v>#REF!</v>
      </c>
      <c r="L98" s="65"/>
      <c r="M98" s="65"/>
      <c r="N98" s="65"/>
      <c r="O98" s="46" t="e">
        <f>IF(NOT(($D$98)=""),"",$C$98+$B$98)</f>
        <v>#REF!</v>
      </c>
      <c r="P98" s="46" t="e">
        <f>IF(NOT(($D$98)=""),"",IF($B$98 &lt; 0,"",$B$98))</f>
        <v>#REF!</v>
      </c>
      <c r="Q98" s="46" t="e">
        <f>IF(NOT(($D$98)=""),"",IF($B$98&gt;=0,"",$B$98))</f>
        <v>#REF!</v>
      </c>
    </row>
    <row r="99" spans="2:17">
      <c r="B99" s="46" t="e">
        <f>#REF!</f>
        <v>#REF!</v>
      </c>
      <c r="C99" s="46" t="e">
        <f>IF(($D$98)="",$C$98+$B$98,$B$98)</f>
        <v>#REF!</v>
      </c>
      <c r="D99" s="65"/>
      <c r="E99" s="65" t="e">
        <f>IF(NOT(($D$99)=""), ,IF(-1=SIGN($C$99)*SIGN($C$100),,$C$99+$B$99*(-1=SIGN($C$99)*SIGN($B$99))))</f>
        <v>#REF!</v>
      </c>
      <c r="F99" s="65" t="e">
        <f>IF(NOT(($D$99)=""), ,IF(AND($B$99&gt;=0,$C$100&gt;0),$B$99*($C$99&gt;=0)+$C$100*($C$99&lt;0),))</f>
        <v>#REF!</v>
      </c>
      <c r="G99" s="65" t="e">
        <f>IF(NOT(($D$99)=""),,IF(AND($B$99&gt;=0,$C$99&lt;0),-$B$99*($C$100&lt;=0)+$C$99*($C$100&gt;0),))</f>
        <v>#REF!</v>
      </c>
      <c r="H99" s="65" t="e">
        <f>IF(NOT(($D$99)=""), ,IF(AND($B$99&lt;=0,$C$99&gt;0),-$B$99*($C$100&gt;=0)+$C$99*($C$100&lt;0), ))</f>
        <v>#REF!</v>
      </c>
      <c r="I99" s="65" t="e">
        <f>IF(NOT(($D$99)=""), ,IF(AND($B$99&lt;=0,$C$100&lt;0),$B$99*($C$99&lt;=0)+$C$100*($C$99&gt;0), ))</f>
        <v>#REF!</v>
      </c>
      <c r="J99" s="65" t="e">
        <f>$E$99+($F$99+$G$99+$H$99+$I$99)/2</f>
        <v>#REF!</v>
      </c>
      <c r="K99" s="65" t="e">
        <f>$F$99-$G$99-$H$99+$I$99</f>
        <v>#REF!</v>
      </c>
      <c r="L99" s="65"/>
      <c r="M99" s="65"/>
      <c r="N99" s="65"/>
      <c r="O99" s="46" t="e">
        <f>IF(NOT(($D$99)=""),"",$C$99+$B$99)</f>
        <v>#REF!</v>
      </c>
      <c r="P99" s="46" t="e">
        <f>IF(NOT(($D$99)=""),"",IF($B$99 &lt; 0,"",$B$99))</f>
        <v>#REF!</v>
      </c>
      <c r="Q99" s="46" t="e">
        <f>IF(NOT(($D$99)=""),"",IF($B$99&gt;=0,"",$B$99))</f>
        <v>#REF!</v>
      </c>
    </row>
    <row r="100" spans="2:17">
      <c r="B100" s="46" t="e">
        <f>#REF!</f>
        <v>#REF!</v>
      </c>
      <c r="C100" s="46" t="e">
        <f>IF(($D$99)="",$C$99+$B$99,$B$99)</f>
        <v>#REF!</v>
      </c>
      <c r="D100" s="65"/>
      <c r="E100" s="65" t="e">
        <f>IF(NOT(($D$100)=""), ,IF(-1=SIGN($C$100)*SIGN($C$101),,$C$100+$B$100*(-1=SIGN($C$100)*SIGN($B$100))))</f>
        <v>#REF!</v>
      </c>
      <c r="F100" s="65" t="e">
        <f>IF(NOT(($D$100)=""), ,IF(AND($B$100&gt;=0,$C$101&gt;0),$B$100*($C$100&gt;=0)+$C$101*($C$100&lt;0),))</f>
        <v>#REF!</v>
      </c>
      <c r="G100" s="65" t="e">
        <f>IF(NOT(($D$100)=""),,IF(AND($B$100&gt;=0,$C$100&lt;0),-$B$100*($C$101&lt;=0)+$C$100*($C$101&gt;0),))</f>
        <v>#REF!</v>
      </c>
      <c r="H100" s="65" t="e">
        <f>IF(NOT(($D$100)=""), ,IF(AND($B$100&lt;=0,$C$100&gt;0),-$B$100*($C$101&gt;=0)+$C$100*($C$101&lt;0), ))</f>
        <v>#REF!</v>
      </c>
      <c r="I100" s="65" t="e">
        <f>IF(NOT(($D$100)=""), ,IF(AND($B$100&lt;=0,$C$101&lt;0),$B$100*($C$100&lt;=0)+$C$101*($C$100&gt;0), ))</f>
        <v>#REF!</v>
      </c>
      <c r="J100" s="65" t="e">
        <f>$E$100+($F$100+$G$100+$H$100+$I$100)/2</f>
        <v>#REF!</v>
      </c>
      <c r="K100" s="65" t="e">
        <f>$F$100-$G$100-$H$100+$I$100</f>
        <v>#REF!</v>
      </c>
      <c r="L100" s="65"/>
      <c r="M100" s="65"/>
      <c r="N100" s="65"/>
      <c r="O100" s="46" t="e">
        <f>IF(NOT(($D$100)=""),"",$C$100+$B$100)</f>
        <v>#REF!</v>
      </c>
      <c r="P100" s="46" t="e">
        <f>IF(NOT(($D$100)=""),"",IF($B$100 &lt; 0,"",$B$100))</f>
        <v>#REF!</v>
      </c>
      <c r="Q100" s="46" t="e">
        <f>IF(NOT(($D$100)=""),"",IF($B$100&gt;=0,"",$B$100))</f>
        <v>#REF!</v>
      </c>
    </row>
    <row r="101" spans="2:17">
      <c r="B101" s="46" t="e">
        <f>#REF!</f>
        <v>#REF!</v>
      </c>
      <c r="C101" s="46" t="e">
        <f>IF(($D$100)="",$C$100+$B$100,$B$100)</f>
        <v>#REF!</v>
      </c>
      <c r="D101" s="65"/>
      <c r="E101" s="65" t="e">
        <f>IF(NOT(($D$101)=""), ,IF(-1=SIGN($C$101)*SIGN($C$102),,$C$101+$B$101*(-1=SIGN($C$101)*SIGN($B$101))))</f>
        <v>#REF!</v>
      </c>
      <c r="F101" s="65" t="e">
        <f>IF(NOT(($D$101)=""), ,IF(AND($B$101&gt;=0,$C$102&gt;0),$B$101*($C$101&gt;=0)+$C$102*($C$101&lt;0),))</f>
        <v>#REF!</v>
      </c>
      <c r="G101" s="65" t="e">
        <f>IF(NOT(($D$101)=""),,IF(AND($B$101&gt;=0,$C$101&lt;0),-$B$101*($C$102&lt;=0)+$C$101*($C$102&gt;0),))</f>
        <v>#REF!</v>
      </c>
      <c r="H101" s="65" t="e">
        <f>IF(NOT(($D$101)=""), ,IF(AND($B$101&lt;=0,$C$101&gt;0),-$B$101*($C$102&gt;=0)+$C$101*($C$102&lt;0), ))</f>
        <v>#REF!</v>
      </c>
      <c r="I101" s="65" t="e">
        <f>IF(NOT(($D$101)=""), ,IF(AND($B$101&lt;=0,$C$102&lt;0),$B$101*($C$101&lt;=0)+$C$102*($C$101&gt;0), ))</f>
        <v>#REF!</v>
      </c>
      <c r="J101" s="65" t="e">
        <f>$E$101+($F$101+$G$101+$H$101+$I$101)/2</f>
        <v>#REF!</v>
      </c>
      <c r="K101" s="65" t="e">
        <f>$F$101-$G$101-$H$101+$I$101</f>
        <v>#REF!</v>
      </c>
      <c r="L101" s="65"/>
      <c r="M101" s="65"/>
      <c r="N101" s="65"/>
      <c r="O101" s="46" t="e">
        <f>IF(NOT(($D$101)=""),"",$C$101+$B$101)</f>
        <v>#REF!</v>
      </c>
      <c r="P101" s="46" t="e">
        <f>IF(NOT(($D$101)=""),"",IF($B$101 &lt; 0,"",$B$101))</f>
        <v>#REF!</v>
      </c>
      <c r="Q101" s="46" t="e">
        <f>IF(NOT(($D$101)=""),"",IF($B$101&gt;=0,"",$B$101))</f>
        <v>#REF!</v>
      </c>
    </row>
    <row r="102" spans="2:17">
      <c r="B102" s="46" t="e">
        <f>#REF!</f>
        <v>#REF!</v>
      </c>
      <c r="C102" s="46" t="e">
        <f>IF(($D$101)="",$C$101+$B$101,$B$101)</f>
        <v>#REF!</v>
      </c>
      <c r="D102" s="65"/>
      <c r="E102" s="65" t="e">
        <f>IF(NOT(($D$102)=""), ,IF(-1=SIGN($C$102)*SIGN($C$103),,$C$102+$B$102*(-1=SIGN($C$102)*SIGN($B$102))))</f>
        <v>#REF!</v>
      </c>
      <c r="F102" s="65" t="e">
        <f>IF(NOT(($D$102)=""), ,IF(AND($B$102&gt;=0,$C$103&gt;0),$B$102*($C$102&gt;=0)+$C$103*($C$102&lt;0),))</f>
        <v>#REF!</v>
      </c>
      <c r="G102" s="65" t="e">
        <f>IF(NOT(($D$102)=""),,IF(AND($B$102&gt;=0,$C$102&lt;0),-$B$102*($C$103&lt;=0)+$C$102*($C$103&gt;0),))</f>
        <v>#REF!</v>
      </c>
      <c r="H102" s="65" t="e">
        <f>IF(NOT(($D$102)=""), ,IF(AND($B$102&lt;=0,$C$102&gt;0),-$B$102*($C$103&gt;=0)+$C$102*($C$103&lt;0), ))</f>
        <v>#REF!</v>
      </c>
      <c r="I102" s="65" t="e">
        <f>IF(NOT(($D$102)=""), ,IF(AND($B$102&lt;=0,$C$103&lt;0),$B$102*($C$102&lt;=0)+$C$103*($C$102&gt;0), ))</f>
        <v>#REF!</v>
      </c>
      <c r="J102" s="65" t="e">
        <f>$E$102+($F$102+$G$102+$H$102+$I$102)/2</f>
        <v>#REF!</v>
      </c>
      <c r="K102" s="65" t="e">
        <f>$F$102-$G$102-$H$102+$I$102</f>
        <v>#REF!</v>
      </c>
      <c r="L102" s="65"/>
      <c r="M102" s="65"/>
      <c r="N102" s="65"/>
      <c r="O102" s="46" t="e">
        <f>IF(NOT(($D$102)=""),"",$C$102+$B$102)</f>
        <v>#REF!</v>
      </c>
      <c r="P102" s="46" t="e">
        <f>IF(NOT(($D$102)=""),"",IF($B$102 &lt; 0,"",$B$102))</f>
        <v>#REF!</v>
      </c>
      <c r="Q102" s="46" t="e">
        <f>IF(NOT(($D$102)=""),"",IF($B$102&gt;=0,"",$B$102))</f>
        <v>#REF!</v>
      </c>
    </row>
    <row r="103" spans="2:17">
      <c r="B103" s="46" t="e">
        <f>#REF!</f>
        <v>#REF!</v>
      </c>
      <c r="C103" s="46" t="e">
        <f>IF(($D$102)="",$C$102+$B$102,$B$102)</f>
        <v>#REF!</v>
      </c>
      <c r="D103" s="65"/>
      <c r="E103" s="65" t="e">
        <f>IF(NOT(($D$103)=""), ,IF(-1=SIGN($C$103)*SIGN($C$104),,$C$103+$B$103*(-1=SIGN($C$103)*SIGN($B$103))))</f>
        <v>#REF!</v>
      </c>
      <c r="F103" s="65" t="e">
        <f>IF(NOT(($D$103)=""), ,IF(AND($B$103&gt;=0,$C$104&gt;0),$B$103*($C$103&gt;=0)+$C$104*($C$103&lt;0),))</f>
        <v>#REF!</v>
      </c>
      <c r="G103" s="65" t="e">
        <f>IF(NOT(($D$103)=""),,IF(AND($B$103&gt;=0,$C$103&lt;0),-$B$103*($C$104&lt;=0)+$C$103*($C$104&gt;0),))</f>
        <v>#REF!</v>
      </c>
      <c r="H103" s="65" t="e">
        <f>IF(NOT(($D$103)=""), ,IF(AND($B$103&lt;=0,$C$103&gt;0),-$B$103*($C$104&gt;=0)+$C$103*($C$104&lt;0), ))</f>
        <v>#REF!</v>
      </c>
      <c r="I103" s="65" t="e">
        <f>IF(NOT(($D$103)=""), ,IF(AND($B$103&lt;=0,$C$104&lt;0),$B$103*($C$103&lt;=0)+$C$104*($C$103&gt;0), ))</f>
        <v>#REF!</v>
      </c>
      <c r="J103" s="65" t="e">
        <f>$E$103+($F$103+$G$103+$H$103+$I$103)/2</f>
        <v>#REF!</v>
      </c>
      <c r="K103" s="65" t="e">
        <f>$F$103-$G$103-$H$103+$I$103</f>
        <v>#REF!</v>
      </c>
      <c r="L103" s="65"/>
      <c r="M103" s="65"/>
      <c r="N103" s="65"/>
      <c r="O103" s="46" t="e">
        <f>IF(NOT(($D$103)=""),"",$C$103+$B$103)</f>
        <v>#REF!</v>
      </c>
      <c r="P103" s="46" t="e">
        <f>IF(NOT(($D$103)=""),"",IF($B$103 &lt; 0,"",$B$103))</f>
        <v>#REF!</v>
      </c>
      <c r="Q103" s="46" t="e">
        <f>IF(NOT(($D$103)=""),"",IF($B$103&gt;=0,"",$B$103))</f>
        <v>#REF!</v>
      </c>
    </row>
    <row r="104" spans="2:17">
      <c r="B104" s="46" t="e">
        <f>#REF!</f>
        <v>#REF!</v>
      </c>
      <c r="C104" s="46" t="e">
        <f>IF(($D$103)="",$C$103+$B$103,$B$103)</f>
        <v>#REF!</v>
      </c>
      <c r="D104" s="65"/>
      <c r="E104" s="65" t="e">
        <f>IF(NOT(($D$104)=""), ,IF(-1=SIGN($C$104)*SIGN($C$105),,$C$104+$B$104*(-1=SIGN($C$104)*SIGN($B$104))))</f>
        <v>#REF!</v>
      </c>
      <c r="F104" s="65" t="e">
        <f>IF(NOT(($D$104)=""), ,IF(AND($B$104&gt;=0,$C$105&gt;0),$B$104*($C$104&gt;=0)+$C$105*($C$104&lt;0),))</f>
        <v>#REF!</v>
      </c>
      <c r="G104" s="65" t="e">
        <f>IF(NOT(($D$104)=""),,IF(AND($B$104&gt;=0,$C$104&lt;0),-$B$104*($C$105&lt;=0)+$C$104*($C$105&gt;0),))</f>
        <v>#REF!</v>
      </c>
      <c r="H104" s="65" t="e">
        <f>IF(NOT(($D$104)=""), ,IF(AND($B$104&lt;=0,$C$104&gt;0),-$B$104*($C$105&gt;=0)+$C$104*($C$105&lt;0), ))</f>
        <v>#REF!</v>
      </c>
      <c r="I104" s="65" t="e">
        <f>IF(NOT(($D$104)=""), ,IF(AND($B$104&lt;=0,$C$105&lt;0),$B$104*($C$104&lt;=0)+$C$105*($C$104&gt;0), ))</f>
        <v>#REF!</v>
      </c>
      <c r="J104" s="65" t="e">
        <f>$E$104+($F$104+$G$104+$H$104+$I$104)/2</f>
        <v>#REF!</v>
      </c>
      <c r="K104" s="65" t="e">
        <f>$F$104-$G$104-$H$104+$I$104</f>
        <v>#REF!</v>
      </c>
      <c r="L104" s="65"/>
      <c r="M104" s="65"/>
      <c r="N104" s="65"/>
      <c r="O104" s="46" t="e">
        <f>IF(NOT(($D$104)=""),"",$C$104+$B$104)</f>
        <v>#REF!</v>
      </c>
      <c r="P104" s="46" t="e">
        <f>IF(NOT(($D$104)=""),"",IF($B$104 &lt; 0,"",$B$104))</f>
        <v>#REF!</v>
      </c>
      <c r="Q104" s="46" t="e">
        <f>IF(NOT(($D$104)=""),"",IF($B$104&gt;=0,"",$B$104))</f>
        <v>#REF!</v>
      </c>
    </row>
    <row r="105" spans="2:17">
      <c r="B105" s="46" t="e">
        <f>#REF!</f>
        <v>#REF!</v>
      </c>
      <c r="C105" s="46" t="e">
        <f>IF(($D$104)="",$C$104+$B$104,$B$104)</f>
        <v>#REF!</v>
      </c>
      <c r="D105" s="65" t="e">
        <f>$B$105</f>
        <v>#REF!</v>
      </c>
      <c r="E105" s="65" t="e">
        <f>IF(NOT(($D$105)=""), ,IF(-1=SIGN($C$105)*SIGN($C$106),,$C$105+$B$105*(-1=SIGN($C$105)*SIGN($B$105))))</f>
        <v>#REF!</v>
      </c>
      <c r="F105" s="65" t="e">
        <f>IF(NOT(($D$105)=""), ,IF(AND($B$105&gt;=0,$C$106&gt;0),$B$105*($C$105&gt;=0)+$C$106*($C$105&lt;0),))</f>
        <v>#REF!</v>
      </c>
      <c r="G105" s="65" t="e">
        <f>IF(NOT(($D$105)=""),,IF(AND($B$105&gt;=0,$C$105&lt;0),-$B$105*($C$106&lt;=0)+$C$105*($C$106&gt;0),))</f>
        <v>#REF!</v>
      </c>
      <c r="H105" s="65" t="e">
        <f>IF(NOT(($D$105)=""), ,IF(AND($B$105&lt;=0,$C$105&gt;0),-$B$105*($C$106&gt;=0)+$C$105*($C$106&lt;0), ))</f>
        <v>#REF!</v>
      </c>
      <c r="I105" s="65" t="e">
        <f>IF(NOT(($D$105)=""), ,IF(AND($B$105&lt;=0,$C$106&lt;0),$B$105*($C$105&lt;=0)+$C$106*($C$105&gt;0), ))</f>
        <v>#REF!</v>
      </c>
      <c r="J105" s="65" t="e">
        <f>$E$105+($F$105+$G$105+$H$105+$I$105)/2</f>
        <v>#REF!</v>
      </c>
      <c r="K105" s="65" t="e">
        <f>$F$105-$G$105-$H$105+$I$105</f>
        <v>#REF!</v>
      </c>
      <c r="L105" s="65"/>
      <c r="M105" s="65"/>
      <c r="N105" s="65"/>
      <c r="O105" s="46" t="e">
        <f>IF(NOT(($D$105)=""),"",$C$105+$B$105)</f>
        <v>#REF!</v>
      </c>
      <c r="P105" s="46" t="e">
        <f>IF(NOT(($D$105)=""),"",IF($B$105 &lt; 0,"",$B$105))</f>
        <v>#REF!</v>
      </c>
      <c r="Q105" s="46" t="e">
        <f>IF(NOT(($D$105)=""),"",IF($B$105&gt;=0,"",$B$105))</f>
        <v>#REF!</v>
      </c>
    </row>
    <row r="106" spans="2:17">
      <c r="B106" s="46" t="e">
        <f>#REF!</f>
        <v>#REF!</v>
      </c>
      <c r="C106" s="46" t="e">
        <f>IF(($D$105)="",$C$105+$B$105,$B$105)</f>
        <v>#REF!</v>
      </c>
      <c r="D106" s="65"/>
      <c r="E106" s="65" t="e">
        <f>IF(NOT(($D$106)=""), ,IF(-1=SIGN($C$106)*SIGN($C$107),,$C$106+$B$106*(-1=SIGN($C$106)*SIGN($B$106))))</f>
        <v>#REF!</v>
      </c>
      <c r="F106" s="65" t="e">
        <f>IF(NOT(($D$106)=""), ,IF(AND($B$106&gt;=0,$C$107&gt;0),$B$106*($C$106&gt;=0)+$C$107*($C$106&lt;0),))</f>
        <v>#REF!</v>
      </c>
      <c r="G106" s="65" t="e">
        <f>IF(NOT(($D$106)=""),,IF(AND($B$106&gt;=0,$C$106&lt;0),-$B$106*($C$107&lt;=0)+$C$106*($C$107&gt;0),))</f>
        <v>#REF!</v>
      </c>
      <c r="H106" s="65" t="e">
        <f>IF(NOT(($D$106)=""), ,IF(AND($B$106&lt;=0,$C$106&gt;0),-$B$106*($C$107&gt;=0)+$C$106*($C$107&lt;0), ))</f>
        <v>#REF!</v>
      </c>
      <c r="I106" s="65" t="e">
        <f>IF(NOT(($D$106)=""), ,IF(AND($B$106&lt;=0,$C$107&lt;0),$B$106*($C$106&lt;=0)+$C$107*($C$106&gt;0), ))</f>
        <v>#REF!</v>
      </c>
      <c r="J106" s="65" t="e">
        <f>$E$106+($F$106+$G$106+$H$106+$I$106)/2</f>
        <v>#REF!</v>
      </c>
      <c r="K106" s="65" t="e">
        <f>$F$106-$G$106-$H$106+$I$106</f>
        <v>#REF!</v>
      </c>
      <c r="L106" s="65"/>
      <c r="M106" s="65"/>
      <c r="N106" s="65"/>
      <c r="O106" s="46" t="e">
        <f>IF(NOT(($D$106)=""),"",$C$106+$B$106)</f>
        <v>#REF!</v>
      </c>
      <c r="P106" s="46" t="e">
        <f>IF(NOT(($D$106)=""),"",IF($B$106 &lt; 0,"",$B$106))</f>
        <v>#REF!</v>
      </c>
      <c r="Q106" s="46" t="e">
        <f>IF(NOT(($D$106)=""),"",IF($B$106&gt;=0,"",$B$106))</f>
        <v>#REF!</v>
      </c>
    </row>
    <row r="107" spans="2:17">
      <c r="B107" s="46" t="e">
        <f>#REF!</f>
        <v>#REF!</v>
      </c>
      <c r="C107" s="46" t="e">
        <f>IF(($D$106)="",$C$106+$B$106,$B$106)</f>
        <v>#REF!</v>
      </c>
      <c r="D107" s="65"/>
      <c r="E107" s="65" t="e">
        <f>IF(NOT(($D$107)=""), ,IF(-1=SIGN($C$107)*SIGN($C$108),,$C$107+$B$107*(-1=SIGN($C$107)*SIGN($B$107))))</f>
        <v>#REF!</v>
      </c>
      <c r="F107" s="65" t="e">
        <f>IF(NOT(($D$107)=""), ,IF(AND($B$107&gt;=0,$C$108&gt;0),$B$107*($C$107&gt;=0)+$C$108*($C$107&lt;0),))</f>
        <v>#REF!</v>
      </c>
      <c r="G107" s="65" t="e">
        <f>IF(NOT(($D$107)=""),,IF(AND($B$107&gt;=0,$C$107&lt;0),-$B$107*($C$108&lt;=0)+$C$107*($C$108&gt;0),))</f>
        <v>#REF!</v>
      </c>
      <c r="H107" s="65" t="e">
        <f>IF(NOT(($D$107)=""), ,IF(AND($B$107&lt;=0,$C$107&gt;0),-$B$107*($C$108&gt;=0)+$C$107*($C$108&lt;0), ))</f>
        <v>#REF!</v>
      </c>
      <c r="I107" s="65" t="e">
        <f>IF(NOT(($D$107)=""), ,IF(AND($B$107&lt;=0,$C$108&lt;0),$B$107*($C$107&lt;=0)+$C$108*($C$107&gt;0), ))</f>
        <v>#REF!</v>
      </c>
      <c r="J107" s="65" t="e">
        <f>$E$107+($F$107+$G$107+$H$107+$I$107)/2</f>
        <v>#REF!</v>
      </c>
      <c r="K107" s="65" t="e">
        <f>$F$107-$G$107-$H$107+$I$107</f>
        <v>#REF!</v>
      </c>
      <c r="L107" s="65"/>
      <c r="M107" s="65"/>
      <c r="N107" s="65"/>
      <c r="O107" s="46" t="e">
        <f>IF(NOT(($D$107)=""),"",$C$107+$B$107)</f>
        <v>#REF!</v>
      </c>
      <c r="P107" s="46" t="e">
        <f>IF(NOT(($D$107)=""),"",IF($B$107 &lt; 0,"",$B$107))</f>
        <v>#REF!</v>
      </c>
      <c r="Q107" s="46" t="e">
        <f>IF(NOT(($D$107)=""),"",IF($B$107&gt;=0,"",$B$107))</f>
        <v>#REF!</v>
      </c>
    </row>
    <row r="108" spans="2:17">
      <c r="B108" s="46" t="e">
        <f>#REF!</f>
        <v>#REF!</v>
      </c>
      <c r="C108" s="46" t="e">
        <f>IF(($D$107)="",$C$107+$B$107,$B$107)</f>
        <v>#REF!</v>
      </c>
      <c r="D108" s="65"/>
      <c r="E108" s="65" t="e">
        <f>IF(NOT(($D$108)=""), ,IF(-1=SIGN($C$108)*SIGN($C$109),,$C$108+$B$108*(-1=SIGN($C$108)*SIGN($B$108))))</f>
        <v>#REF!</v>
      </c>
      <c r="F108" s="65" t="e">
        <f>IF(NOT(($D$108)=""), ,IF(AND($B$108&gt;=0,$C$109&gt;0),$B$108*($C$108&gt;=0)+$C$109*($C$108&lt;0),))</f>
        <v>#REF!</v>
      </c>
      <c r="G108" s="65" t="e">
        <f>IF(NOT(($D$108)=""),,IF(AND($B$108&gt;=0,$C$108&lt;0),-$B$108*($C$109&lt;=0)+$C$108*($C$109&gt;0),))</f>
        <v>#REF!</v>
      </c>
      <c r="H108" s="65" t="e">
        <f>IF(NOT(($D$108)=""), ,IF(AND($B$108&lt;=0,$C$108&gt;0),-$B$108*($C$109&gt;=0)+$C$108*($C$109&lt;0), ))</f>
        <v>#REF!</v>
      </c>
      <c r="I108" s="65" t="e">
        <f>IF(NOT(($D$108)=""), ,IF(AND($B$108&lt;=0,$C$109&lt;0),$B$108*($C$108&lt;=0)+$C$109*($C$108&gt;0), ))</f>
        <v>#REF!</v>
      </c>
      <c r="J108" s="65" t="e">
        <f>$E$108+($F$108+$G$108+$H$108+$I$108)/2</f>
        <v>#REF!</v>
      </c>
      <c r="K108" s="65" t="e">
        <f>$F$108-$G$108-$H$108+$I$108</f>
        <v>#REF!</v>
      </c>
      <c r="L108" s="65"/>
      <c r="M108" s="65"/>
      <c r="N108" s="65"/>
      <c r="O108" s="46" t="e">
        <f>IF(NOT(($D$108)=""),"",$C$108+$B$108)</f>
        <v>#REF!</v>
      </c>
      <c r="P108" s="46" t="e">
        <f>IF(NOT(($D$108)=""),"",IF($B$108 &lt; 0,"",$B$108))</f>
        <v>#REF!</v>
      </c>
      <c r="Q108" s="46" t="e">
        <f>IF(NOT(($D$108)=""),"",IF($B$108&gt;=0,"",$B$108))</f>
        <v>#REF!</v>
      </c>
    </row>
    <row r="109" spans="2:17">
      <c r="B109" s="46" t="e">
        <f>#REF!</f>
        <v>#REF!</v>
      </c>
      <c r="C109" s="46" t="e">
        <f>IF(($D$108)="",$C$108+$B$108,$B$108)</f>
        <v>#REF!</v>
      </c>
      <c r="D109" s="65" t="e">
        <f>$B$109</f>
        <v>#REF!</v>
      </c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46"/>
      <c r="P109" s="46"/>
      <c r="Q109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12DA-3206-4F73-85EA-5832E08BEFC5}">
  <sheetPr codeName="Sheet120"/>
  <dimension ref="A1:AH352"/>
  <sheetViews>
    <sheetView workbookViewId="0"/>
  </sheetViews>
  <sheetFormatPr baseColWidth="10" defaultColWidth="8.83203125" defaultRowHeight="15"/>
  <sheetData>
    <row r="1" spans="1:34">
      <c r="A1" t="s">
        <v>91</v>
      </c>
      <c r="B1" s="45">
        <v>354</v>
      </c>
      <c r="D1" t="s">
        <v>92</v>
      </c>
      <c r="E1" s="45">
        <v>8</v>
      </c>
    </row>
    <row r="2" spans="1:34">
      <c r="A2" s="46" t="s">
        <v>93</v>
      </c>
      <c r="B2" s="46" t="s">
        <v>94</v>
      </c>
      <c r="C2" s="46" t="s">
        <v>95</v>
      </c>
      <c r="D2" s="46" t="s">
        <v>96</v>
      </c>
      <c r="E2" s="46" t="s">
        <v>97</v>
      </c>
      <c r="F2" s="46" t="s">
        <v>98</v>
      </c>
      <c r="G2" s="46" t="s">
        <v>99</v>
      </c>
      <c r="H2" s="46" t="s">
        <v>100</v>
      </c>
      <c r="I2" s="46" t="s">
        <v>101</v>
      </c>
      <c r="J2" s="46" t="s">
        <v>102</v>
      </c>
      <c r="K2" s="46" t="s">
        <v>103</v>
      </c>
      <c r="L2" s="46" t="s">
        <v>104</v>
      </c>
      <c r="M2" s="46" t="s">
        <v>105</v>
      </c>
      <c r="N2" s="46" t="s">
        <v>106</v>
      </c>
      <c r="O2" s="46" t="s">
        <v>107</v>
      </c>
      <c r="P2" s="46" t="s">
        <v>108</v>
      </c>
      <c r="Q2" s="46" t="s">
        <v>109</v>
      </c>
      <c r="R2" s="46" t="s">
        <v>110</v>
      </c>
      <c r="S2" s="46" t="s">
        <v>111</v>
      </c>
      <c r="T2" s="46" t="s">
        <v>112</v>
      </c>
      <c r="U2" s="46" t="s">
        <v>113</v>
      </c>
      <c r="V2" s="46" t="s">
        <v>114</v>
      </c>
      <c r="W2" s="46" t="s">
        <v>115</v>
      </c>
      <c r="X2" s="46" t="s">
        <v>116</v>
      </c>
      <c r="Y2" s="46" t="s">
        <v>117</v>
      </c>
      <c r="Z2" s="46" t="s">
        <v>118</v>
      </c>
      <c r="AA2" s="46" t="s">
        <v>119</v>
      </c>
      <c r="AB2" s="46" t="s">
        <v>120</v>
      </c>
      <c r="AC2" s="46" t="s">
        <v>121</v>
      </c>
      <c r="AD2" s="46" t="s">
        <v>122</v>
      </c>
      <c r="AE2" s="46" t="s">
        <v>123</v>
      </c>
      <c r="AF2" s="46" t="s">
        <v>124</v>
      </c>
      <c r="AG2" s="46" t="s">
        <v>125</v>
      </c>
      <c r="AH2" s="46" t="s">
        <v>126</v>
      </c>
    </row>
    <row r="3" spans="1:34">
      <c r="A3" s="46">
        <v>1</v>
      </c>
      <c r="B3" s="46" t="b">
        <v>1</v>
      </c>
      <c r="C3" s="46" t="e">
        <f>#REF!</f>
        <v>#REF!</v>
      </c>
      <c r="D3" s="46" t="e">
        <f>$C$3</f>
        <v>#REF!</v>
      </c>
      <c r="E3" s="46"/>
      <c r="F3" s="46"/>
      <c r="G3" s="46"/>
      <c r="H3" s="46"/>
      <c r="I3" s="46"/>
      <c r="J3" s="46"/>
      <c r="K3" s="46" t="e">
        <f>IF(COUNTIF(#REF!, "= 0")+ COUNTBLANK(#REF!) = 1,NA(),IF($B$3,$D$3,NA()))</f>
        <v>#REF!</v>
      </c>
      <c r="L3" s="46" t="e">
        <f>$D$3</f>
        <v>#REF!</v>
      </c>
      <c r="M3" s="46" t="e">
        <f>IF(COUNTIF(#REF!, "= 0")+ COUNTBLANK(#REF!) = 1,NA(),IF($B$3,NA(),IF($C$3&gt;= 0,$R$3,NA())))</f>
        <v>#REF!</v>
      </c>
      <c r="N3" s="46" t="e">
        <f>IF(COUNTIF(#REF!, "= 0")+ COUNTBLANK(#REF!) = 1,NA(),IF($B$3,NA(),IF($C$3&lt;= 0,$Q$3,NA())))</f>
        <v>#REF!</v>
      </c>
      <c r="O3" s="46" t="e">
        <f>$C$3</f>
        <v>#REF!</v>
      </c>
      <c r="P3" s="46" t="e">
        <f>$C$3</f>
        <v>#REF!</v>
      </c>
      <c r="Q3" s="46">
        <f>SUMIF($Z$3:$Z$3,"&lt;0")</f>
        <v>0</v>
      </c>
      <c r="R3" s="46">
        <f>SUMIF($Z$3:$Z$3,"&gt;0")</f>
        <v>0</v>
      </c>
      <c r="S3" s="46"/>
      <c r="T3" s="46"/>
      <c r="U3" s="46"/>
      <c r="V3" s="46"/>
      <c r="W3" s="46"/>
      <c r="X3" s="46"/>
      <c r="Y3" s="46" t="e">
        <f>$D$3</f>
        <v>#REF!</v>
      </c>
      <c r="Z3" s="46" t="e">
        <f>#REF!</f>
        <v>#REF!</v>
      </c>
      <c r="AA3" s="46">
        <v>0</v>
      </c>
      <c r="AB3" s="46">
        <v>0</v>
      </c>
      <c r="AC3" s="46"/>
      <c r="AD3" s="46"/>
      <c r="AE3" s="46">
        <f>IF($B$3,,IF($Z$3 &lt; 0,$Z$3,))</f>
        <v>0</v>
      </c>
      <c r="AF3" s="46">
        <f>IF($B$3,,IF($Z$3 &gt; 0,$Z$3,))</f>
        <v>0</v>
      </c>
      <c r="AG3" s="46"/>
      <c r="AH3" s="46" t="e">
        <f>IF($B$3,NA(),IF($Z$3 = 0,NA(),IF($Z$3 &gt; 0,$AB$3 + $Z$3/2,-$AA$3 + $Z$3/2)))</f>
        <v>#N/A</v>
      </c>
    </row>
    <row r="4" spans="1:34">
      <c r="A4" s="46"/>
      <c r="B4" s="46" t="b">
        <v>1</v>
      </c>
      <c r="C4" s="46" t="e">
        <f>#REF!</f>
        <v>#REF!</v>
      </c>
      <c r="D4" s="46" t="e">
        <f>SUM($D$3,$C$4)</f>
        <v>#REF!</v>
      </c>
      <c r="E4" s="46" t="e">
        <f>$D$3&gt;=0</f>
        <v>#REF!</v>
      </c>
      <c r="F4" s="46" t="e">
        <f>IF($B$4,AND($D$3&lt;=0,SUM($D$3,$C$4)&gt; 0),AND($D$3&lt;=0,SUM($D$3,$R$4)&gt; 0))</f>
        <v>#REF!</v>
      </c>
      <c r="G4" s="46" t="e">
        <f>IF($B$4,AND($D$3&gt;=0,SUM($D$3,$C$4)&lt; 0),AND($D$3&gt;=0,SUM($D$3,$Q$4)&lt; 0))</f>
        <v>#REF!</v>
      </c>
      <c r="H4" s="46" t="e">
        <f>OR($G$4,$F$4)</f>
        <v>#REF!</v>
      </c>
      <c r="I4" s="46" t="e">
        <f>IF($H$4,IF($G$4,"atb","bta"),IF($E$4,"nca","ncb"))</f>
        <v>#REF!</v>
      </c>
      <c r="J4" s="46" t="e">
        <f>IF($H$4,0,IF($B$4,IF($E$4,IF($C$4&gt;=0,$D$3,$D$3+$C$4),IF($C$4&gt;=0,$D$3+$C$4,$D$3)),IF($E$4,SUM($D$3,$Q$4),SUM($D$3,$R$4))))</f>
        <v>#REF!</v>
      </c>
      <c r="K4" s="46"/>
      <c r="L4" s="46"/>
      <c r="M4" s="46" t="e">
        <f>IF(COUNTIF(#REF!, "= 0")+ COUNTBLANK(#REF!) = 1,NA(),IF($B$4,NA(),IF($C$4&gt;=0,SUM($D$3,$R$4),NA())))</f>
        <v>#REF!</v>
      </c>
      <c r="N4" s="46" t="e">
        <f>IF(COUNTIF(#REF!, "= 0")+ COUNTBLANK(#REF!) = 1,NA(),IF($B$4,NA(),IF($C$4&gt;=0,NA(),SUM($D$3,$Q$4))))</f>
        <v>#REF!</v>
      </c>
      <c r="O4" s="46" t="e">
        <f>$C$4</f>
        <v>#REF!</v>
      </c>
      <c r="P4" s="46" t="e">
        <f>$C$4</f>
        <v>#REF!</v>
      </c>
      <c r="Q4" s="46">
        <f>SUMIF($Z$4:$Z$4,"&lt;0")</f>
        <v>0</v>
      </c>
      <c r="R4" s="46">
        <f>SUMIF($Z$4:$Z$4,"&gt;0")</f>
        <v>0</v>
      </c>
      <c r="S4" s="46" t="e">
        <f>IF($B$4,IF($I$4="nca",IF($C$4&gt;=0,0,ABS($C$4)),IF($I$4="ncb",0,IF($I$4="atb",IF($C$4&gt;=0,0,IF($D$3&lt;0,0,IF(ABS($C$4)&gt;$D$3,$D$3,ABS($C$4)))),IF($I$4="bta",0,"err")))),)</f>
        <v>#REF!</v>
      </c>
      <c r="T4" s="46" t="e">
        <f>IF($B$4,IF($I$4="nca",IF($C$4&lt;0,0,ABS($C$4)),IF($I$4="ncb",0,IF($I$4="atb",IF($C$4&lt;=0,0,$C$4),IF($I$4="bta",IF($C$4&lt;=0,0,$V$4+$C$4),"err")))),)</f>
        <v>#REF!</v>
      </c>
      <c r="U4" s="46" t="e">
        <f>IF($B$4,IF($I$4="nca",0,IF($I$4="ncb",IF($C$4&lt;=0,-ABS($C$4),0),IF($I$4="atb",IF($C$4&lt;0,$C$4+$S$4,0),IF($I$4="bta",IF($C$4&lt;=0,$C$4,0),"err")))),)</f>
        <v>#REF!</v>
      </c>
      <c r="V4" s="46" t="e">
        <f>IF($B$4,IF($I$4="nca",0,IF($I$4="ncb",IF($C$4&gt;=0,-ABS($C$4),0),IF($I$4="atb",0,IF($I$4="bta",IF($C$4&lt;=0,0,IF($D$3&gt;0,0,IF(ABS($C$4)&lt;ABS($D$3),-ABS($C$4),$D$3))),"err")))),)</f>
        <v>#REF!</v>
      </c>
      <c r="W4" s="46" t="e">
        <f>IF($C$4&gt;=0,IF($B$4,IF($C$4=0,NA(),$D$4),NA()),NA())</f>
        <v>#REF!</v>
      </c>
      <c r="X4" s="46" t="e">
        <f>IF($C$4&lt;0,IF($B$4,IF($C$4=0,NA(),$D$4),NA()),NA())</f>
        <v>#REF!</v>
      </c>
      <c r="Y4" s="46" t="e">
        <f>$D$3</f>
        <v>#REF!</v>
      </c>
      <c r="Z4" s="46" t="e">
        <f>#REF!</f>
        <v>#REF!</v>
      </c>
      <c r="AA4" s="46">
        <v>0</v>
      </c>
      <c r="AB4" s="46">
        <v>0</v>
      </c>
      <c r="AC4" s="46">
        <f>IF($B$4,,IF($I$4="nca",IF($Z$4&gt;=0,0,ABS($Z$4)),IF($I$4="ncb",0,IF($I$4="atb",IF($Z$4&gt;=0,0,IF($D$3-$AA$4&lt;0,0,IF(ABS($Z$4)&gt;$D$3-$AA$4,$D$3-$AA$4,ABS($Z$4)))),IF($I$4="bta",0,"err")))))</f>
        <v>0</v>
      </c>
      <c r="AD4" s="46">
        <f>IF($B$4,,IF($I$4="nca",0,IF($I$4="ncb",IF($Z$4&gt;=0,-ABS($Z$4),0),IF($I$4="atb",0,IF($I$4="bta",IF($Z$4&lt;=0,0,IF($D$3+$AB$4&gt;0,0,IF(ABS($Z$4)&lt;ABS($D$3+$AB$4),-ABS($Z$4),$D$3+$AB$4))),"err")))))</f>
        <v>0</v>
      </c>
      <c r="AE4" s="46">
        <f>IF($B$4,,IF($I$4="nca",0,IF($I$4="ncb",IF($Z$4&lt;=0,-ABS($Z$4),0),IF($I$4="atb",IF($Z$4&lt;0,$Z$4+$AC$4,0),IF($I$4="bta",IF($Z$4&lt;=0,$Z$4,0),"err")))))</f>
        <v>0</v>
      </c>
      <c r="AF4" s="46">
        <f>IF($B$4,,IF($I$4="nca",IF($Z$4&lt;0,0,ABS($Z$4)),IF($I$4="ncb",0,IF($I$4="atb",IF($Z$4&lt;=0,0,$Z$4),IF($I$4="bta",IF($Z$4&lt;=0,0,$AD$4+$Z$4),"err")))))</f>
        <v>0</v>
      </c>
      <c r="AG4" s="46" t="b">
        <f>IF(SUM(COUNTIFS($AF$4,"&lt;&gt;0",$AF$4,"&lt;&gt;"),COUNTIFS($AC$4,"&lt;&gt;0",$AC$4,"&lt;&gt;"),COUNTIFS($AD$4,"&lt;&gt;0",$AD$4,"&lt;&gt;"),COUNTIFS($AE$4,"&lt;&gt;0",$AE$4,"&lt;&gt;"))=2,TRUE,FALSE)</f>
        <v>0</v>
      </c>
      <c r="AH4" s="46" t="e">
        <f>IF($B$4,NA(),IF($Z$4=0,NA(),IF($AG$4,SUM($AC$4,$AF$4,$AD$4,$AE$4)/2,IF(OR($AF$4&lt;&gt;0,$AD$4&lt;&gt;0),$D$3+$AB$4,$D$3-$AA$4)+$Z$4/2)))</f>
        <v>#N/A</v>
      </c>
    </row>
    <row r="5" spans="1:34">
      <c r="A5" s="46"/>
      <c r="B5" s="46"/>
      <c r="C5" s="46" t="e">
        <f>#REF!</f>
        <v>#REF!</v>
      </c>
      <c r="D5" s="46" t="e">
        <f>SUM($D$4,$C$5)</f>
        <v>#REF!</v>
      </c>
      <c r="E5" s="46" t="e">
        <f>$D$4&gt;=0</f>
        <v>#REF!</v>
      </c>
      <c r="F5" s="46" t="e">
        <f>IF($B$4,AND($D$4&lt;=0,SUM($D$4,$C$5)&gt; 0),AND($D$4&lt;=0,SUM($D$4,$R$5)&gt; 0))</f>
        <v>#REF!</v>
      </c>
      <c r="G5" s="46" t="e">
        <f>IF($B$4,AND($D$4&gt;=0,SUM($D$4,$C$5)&lt; 0),AND($D$4&gt;=0,SUM($D$4,$Q$5)&lt; 0))</f>
        <v>#REF!</v>
      </c>
      <c r="H5" s="46" t="e">
        <f>OR($G$5,$F$5)</f>
        <v>#REF!</v>
      </c>
      <c r="I5" s="46" t="e">
        <f>IF($H$5,IF($G$5,"atb","bta"),IF($E$5,"nca","ncb"))</f>
        <v>#REF!</v>
      </c>
      <c r="J5" s="46" t="e">
        <f>IF($H$5,0,IF($B$4,IF($E$5,IF($C$5&gt;=0,$D$4,$D$4+$C$5),IF($C$5&gt;=0,$D$4+$C$5,$D$4)),IF($E$5,SUM($D$4,$Q$5),SUM($D$4,$R$5))))</f>
        <v>#REF!</v>
      </c>
      <c r="K5" s="46"/>
      <c r="L5" s="46"/>
      <c r="M5" s="46" t="e">
        <f>IF(COUNTIF(#REF!, "= 0")+ COUNTBLANK(#REF!) = 1,NA(),IF($B$4,NA(),IF($C$5&gt;=0,SUM($D$4,$R$5),NA())))</f>
        <v>#REF!</v>
      </c>
      <c r="N5" s="46" t="e">
        <f>IF(COUNTIF(#REF!, "= 0")+ COUNTBLANK(#REF!) = 1,NA(),IF($B$4,NA(),IF($C$5&gt;=0,NA(),SUM($D$4,$Q$5))))</f>
        <v>#REF!</v>
      </c>
      <c r="O5" s="46" t="e">
        <f>$C$5</f>
        <v>#REF!</v>
      </c>
      <c r="P5" s="46" t="e">
        <f>$C$5</f>
        <v>#REF!</v>
      </c>
      <c r="Q5" s="46">
        <f>SUMIF($Z$5:$Z$5,"&lt;0")</f>
        <v>0</v>
      </c>
      <c r="R5" s="46">
        <f>SUMIF($Z$5:$Z$5,"&gt;0")</f>
        <v>0</v>
      </c>
      <c r="S5" s="46" t="e">
        <f>IF($B$4,IF($I$5="nca",IF($C$5&gt;=0,0,ABS($C$5)),IF($I$5="ncb",0,IF($I$5="atb",IF($C$5&gt;=0,0,IF($D$4&lt;0,0,IF(ABS($C$5)&gt;$D$4,$D$4,ABS($C$5)))),IF($I$5="bta",0,"err")))),)</f>
        <v>#REF!</v>
      </c>
      <c r="T5" s="46" t="e">
        <f>IF($B$4,IF($I$5="nca",IF($C$5&lt;0,0,ABS($C$5)),IF($I$5="ncb",0,IF($I$5="atb",IF($C$5&lt;=0,0,$C$5),IF($I$5="bta",IF($C$5&lt;=0,0,$V$5+$C$5),"err")))),)</f>
        <v>#REF!</v>
      </c>
      <c r="U5" s="46" t="e">
        <f>IF($B$4,IF($I$5="nca",0,IF($I$5="ncb",IF($C$5&lt;=0,-ABS($C$5),0),IF($I$5="atb",IF($C$5&lt;0,$C$5+$S$5,0),IF($I$5="bta",IF($C$5&lt;=0,$C$5,0),"err")))),)</f>
        <v>#REF!</v>
      </c>
      <c r="V5" s="46" t="e">
        <f>IF($B$4,IF($I$5="nca",0,IF($I$5="ncb",IF($C$5&gt;=0,-ABS($C$5),0),IF($I$5="atb",0,IF($I$5="bta",IF($C$5&lt;=0,0,IF($D$4&gt;0,0,IF(ABS($C$5)&lt;ABS($D$4),-ABS($C$5),$D$4))),"err")))),)</f>
        <v>#REF!</v>
      </c>
      <c r="W5" s="46" t="e">
        <f>IF($C$5&gt;=0,IF($B$4,IF($C$5=0,NA(),$D$5),NA()),NA())</f>
        <v>#REF!</v>
      </c>
      <c r="X5" s="46" t="e">
        <f>IF($C$5&lt;0,IF($B$4,IF($C$5=0,NA(),$D$5),NA()),NA())</f>
        <v>#REF!</v>
      </c>
      <c r="Y5" s="46" t="e">
        <f>IF(IF($B$4,$C$4 = 0,COUNTIF(#REF!, "= 0")+ COUNTBLANK(#REF!) = 1),$Y$4,NA())</f>
        <v>#REF!</v>
      </c>
      <c r="Z5" s="46" t="e">
        <f>#REF!</f>
        <v>#REF!</v>
      </c>
      <c r="AA5" s="46">
        <v>0</v>
      </c>
      <c r="AB5" s="46">
        <v>0</v>
      </c>
      <c r="AC5" s="46">
        <f>IF($B$4,,IF($I$5="nca",IF($Z$5&gt;=0,0,ABS($Z$5)),IF($I$5="ncb",0,IF($I$5="atb",IF($Z$5&gt;=0,0,IF($D$4-$AA$5&lt;0,0,IF(ABS($Z$5)&gt;$D$4-$AA$5,$D$4-$AA$5,ABS($Z$5)))),IF($I$5="bta",0,"err")))))</f>
        <v>0</v>
      </c>
      <c r="AD5" s="46">
        <f>IF($B$4,,IF($I$5="nca",0,IF($I$5="ncb",IF($Z$5&gt;=0,-ABS($Z$5),0),IF($I$5="atb",0,IF($I$5="bta",IF($Z$5&lt;=0,0,IF($D$4+$AB$5&gt;0,0,IF(ABS($Z$5)&lt;ABS($D$4+$AB$5),-ABS($Z$5),$D$4+$AB$5))),"err")))))</f>
        <v>0</v>
      </c>
      <c r="AE5" s="46">
        <f>IF($B$4,,IF($I$5="nca",0,IF($I$5="ncb",IF($Z$5&lt;=0,-ABS($Z$5),0),IF($I$5="atb",IF($Z$5&lt;0,$Z$5+$AC$5,0),IF($I$5="bta",IF($Z$5&lt;=0,$Z$5,0),"err")))))</f>
        <v>0</v>
      </c>
      <c r="AF5" s="46">
        <f>IF($B$4,,IF($I$5="nca",IF($Z$5&lt;0,0,ABS($Z$5)),IF($I$5="ncb",0,IF($I$5="atb",IF($Z$5&lt;=0,0,$Z$5),IF($I$5="bta",IF($Z$5&lt;=0,0,$AD$5+$Z$5),"err")))))</f>
        <v>0</v>
      </c>
      <c r="AG5" s="46" t="b">
        <f>IF(SUM(COUNTIFS($AF$5,"&lt;&gt;0",$AF$5,"&lt;&gt;"),COUNTIFS($AC$5,"&lt;&gt;0",$AC$5,"&lt;&gt;"),COUNTIFS($AD$5,"&lt;&gt;0",$AD$5,"&lt;&gt;"),COUNTIFS($AE$5,"&lt;&gt;0",$AE$5,"&lt;&gt;"))=2,TRUE,FALSE)</f>
        <v>0</v>
      </c>
      <c r="AH5" s="46" t="e">
        <f>IF($B$4,NA(),IF($Z$5=0,NA(),IF($AG$5,SUM($AC$5,$AF$5,$AD$5,$AE$5)/2,IF(OR($AF$5&lt;&gt;0,$AD$5&lt;&gt;0),$D$4+$AB$5,$D$4-$AA$5)+$Z$5/2)))</f>
        <v>#N/A</v>
      </c>
    </row>
    <row r="6" spans="1:34">
      <c r="A6" s="46"/>
      <c r="B6" s="46"/>
      <c r="C6" s="46" t="e">
        <f>#REF!</f>
        <v>#REF!</v>
      </c>
      <c r="D6" s="46" t="e">
        <f>SUM($D$5,$C$6)</f>
        <v>#REF!</v>
      </c>
      <c r="E6" s="46" t="e">
        <f>$D$5&gt;=0</f>
        <v>#REF!</v>
      </c>
      <c r="F6" s="46" t="e">
        <f>IF($B$4,AND($D$5&lt;=0,SUM($D$5,$C$6)&gt; 0),AND($D$5&lt;=0,SUM($D$5,$R$6)&gt; 0))</f>
        <v>#REF!</v>
      </c>
      <c r="G6" s="46" t="e">
        <f>IF($B$4,AND($D$5&gt;=0,SUM($D$5,$C$6)&lt; 0),AND($D$5&gt;=0,SUM($D$5,$Q$6)&lt; 0))</f>
        <v>#REF!</v>
      </c>
      <c r="H6" s="46" t="e">
        <f>OR($G$6,$F$6)</f>
        <v>#REF!</v>
      </c>
      <c r="I6" s="46" t="e">
        <f>IF($H$6,IF($G$6,"atb","bta"),IF($E$6,"nca","ncb"))</f>
        <v>#REF!</v>
      </c>
      <c r="J6" s="46" t="e">
        <f>IF($H$6,0,IF($B$4,IF($E$6,IF($C$6&gt;=0,$D$5,$D$5+$C$6),IF($C$6&gt;=0,$D$5+$C$6,$D$5)),IF($E$6,SUM($D$5,$Q$6),SUM($D$5,$R$6))))</f>
        <v>#REF!</v>
      </c>
      <c r="K6" s="46"/>
      <c r="L6" s="46"/>
      <c r="M6" s="46" t="e">
        <f>IF(COUNTIF(#REF!, "= 0")+ COUNTBLANK(#REF!) = 1,NA(),IF($B$4,NA(),IF($C$6&gt;=0,SUM($D$5,$R$6),NA())))</f>
        <v>#REF!</v>
      </c>
      <c r="N6" s="46" t="e">
        <f>IF(COUNTIF(#REF!, "= 0")+ COUNTBLANK(#REF!) = 1,NA(),IF($B$4,NA(),IF($C$6&gt;=0,NA(),SUM($D$5,$Q$6))))</f>
        <v>#REF!</v>
      </c>
      <c r="O6" s="46" t="e">
        <f>$C$6</f>
        <v>#REF!</v>
      </c>
      <c r="P6" s="46" t="e">
        <f>$C$6</f>
        <v>#REF!</v>
      </c>
      <c r="Q6" s="46">
        <f>SUMIF($Z$6:$Z$6,"&lt;0")</f>
        <v>0</v>
      </c>
      <c r="R6" s="46">
        <f>SUMIF($Z$6:$Z$6,"&gt;0")</f>
        <v>0</v>
      </c>
      <c r="S6" s="46" t="e">
        <f>IF($B$4,IF($I$6="nca",IF($C$6&gt;=0,0,ABS($C$6)),IF($I$6="ncb",0,IF($I$6="atb",IF($C$6&gt;=0,0,IF($D$5&lt;0,0,IF(ABS($C$6)&gt;$D$5,$D$5,ABS($C$6)))),IF($I$6="bta",0,"err")))),)</f>
        <v>#REF!</v>
      </c>
      <c r="T6" s="46" t="e">
        <f>IF($B$4,IF($I$6="nca",IF($C$6&lt;0,0,ABS($C$6)),IF($I$6="ncb",0,IF($I$6="atb",IF($C$6&lt;=0,0,$C$6),IF($I$6="bta",IF($C$6&lt;=0,0,$V$6+$C$6),"err")))),)</f>
        <v>#REF!</v>
      </c>
      <c r="U6" s="46" t="e">
        <f>IF($B$4,IF($I$6="nca",0,IF($I$6="ncb",IF($C$6&lt;=0,-ABS($C$6),0),IF($I$6="atb",IF($C$6&lt;0,$C$6+$S$6,0),IF($I$6="bta",IF($C$6&lt;=0,$C$6,0),"err")))),)</f>
        <v>#REF!</v>
      </c>
      <c r="V6" s="46" t="e">
        <f>IF($B$4,IF($I$6="nca",0,IF($I$6="ncb",IF($C$6&gt;=0,-ABS($C$6),0),IF($I$6="atb",0,IF($I$6="bta",IF($C$6&lt;=0,0,IF($D$5&gt;0,0,IF(ABS($C$6)&lt;ABS($D$5),-ABS($C$6),$D$5))),"err")))),)</f>
        <v>#REF!</v>
      </c>
      <c r="W6" s="46" t="e">
        <f>IF($C$6&gt;=0,IF($B$4,IF($C$6=0,NA(),$D$6),NA()),NA())</f>
        <v>#REF!</v>
      </c>
      <c r="X6" s="46" t="e">
        <f>IF($C$6&lt;0,IF($B$4,IF($C$6=0,NA(),$D$6),NA()),NA())</f>
        <v>#REF!</v>
      </c>
      <c r="Y6" s="46" t="e">
        <f>$D$4</f>
        <v>#REF!</v>
      </c>
      <c r="Z6" s="46" t="e">
        <f>#REF!</f>
        <v>#REF!</v>
      </c>
      <c r="AA6" s="46">
        <v>0</v>
      </c>
      <c r="AB6" s="46">
        <v>0</v>
      </c>
      <c r="AC6" s="46">
        <f>IF($B$4,,IF($I$6="nca",IF($Z$6&gt;=0,0,ABS($Z$6)),IF($I$6="ncb",0,IF($I$6="atb",IF($Z$6&gt;=0,0,IF($D$5-$AA$6&lt;0,0,IF(ABS($Z$6)&gt;$D$5-$AA$6,$D$5-$AA$6,ABS($Z$6)))),IF($I$6="bta",0,"err")))))</f>
        <v>0</v>
      </c>
      <c r="AD6" s="46">
        <f>IF($B$4,,IF($I$6="nca",0,IF($I$6="ncb",IF($Z$6&gt;=0,-ABS($Z$6),0),IF($I$6="atb",0,IF($I$6="bta",IF($Z$6&lt;=0,0,IF($D$5+$AB$6&gt;0,0,IF(ABS($Z$6)&lt;ABS($D$5+$AB$6),-ABS($Z$6),$D$5+$AB$6))),"err")))))</f>
        <v>0</v>
      </c>
      <c r="AE6" s="46">
        <f>IF($B$4,,IF($I$6="nca",0,IF($I$6="ncb",IF($Z$6&lt;=0,-ABS($Z$6),0),IF($I$6="atb",IF($Z$6&lt;0,$Z$6+$AC$6,0),IF($I$6="bta",IF($Z$6&lt;=0,$Z$6,0),"err")))))</f>
        <v>0</v>
      </c>
      <c r="AF6" s="46">
        <f>IF($B$4,,IF($I$6="nca",IF($Z$6&lt;0,0,ABS($Z$6)),IF($I$6="ncb",0,IF($I$6="atb",IF($Z$6&lt;=0,0,$Z$6),IF($I$6="bta",IF($Z$6&lt;=0,0,$AD$6+$Z$6),"err")))))</f>
        <v>0</v>
      </c>
      <c r="AG6" s="46" t="b">
        <f>IF(SUM(COUNTIFS($AF$6,"&lt;&gt;0",$AF$6,"&lt;&gt;"),COUNTIFS($AC$6,"&lt;&gt;0",$AC$6,"&lt;&gt;"),COUNTIFS($AD$6,"&lt;&gt;0",$AD$6,"&lt;&gt;"),COUNTIFS($AE$6,"&lt;&gt;0",$AE$6,"&lt;&gt;"))=2,TRUE,FALSE)</f>
        <v>0</v>
      </c>
      <c r="AH6" s="46" t="e">
        <f>IF($B$4,NA(),IF($Z$6=0,NA(),IF($AG$6,SUM($AC$6,$AF$6,$AD$6,$AE$6)/2,IF(OR($AF$6&lt;&gt;0,$AD$6&lt;&gt;0),$D$5+$AB$6,$D$5-$AA$6)+$Z$6/2)))</f>
        <v>#N/A</v>
      </c>
    </row>
    <row r="7" spans="1:34">
      <c r="A7" s="46"/>
      <c r="B7" s="46"/>
      <c r="C7" s="46" t="e">
        <f>#REF!</f>
        <v>#REF!</v>
      </c>
      <c r="D7" s="46" t="e">
        <f>SUM($D$6,$C$7)</f>
        <v>#REF!</v>
      </c>
      <c r="E7" s="46" t="e">
        <f>$D$6&gt;=0</f>
        <v>#REF!</v>
      </c>
      <c r="F7" s="46" t="e">
        <f>IF($B$4,AND($D$6&lt;=0,SUM($D$6,$C$7)&gt; 0),AND($D$6&lt;=0,SUM($D$6,$R$7)&gt; 0))</f>
        <v>#REF!</v>
      </c>
      <c r="G7" s="46" t="e">
        <f>IF($B$4,AND($D$6&gt;=0,SUM($D$6,$C$7)&lt; 0),AND($D$6&gt;=0,SUM($D$6,$Q$7)&lt; 0))</f>
        <v>#REF!</v>
      </c>
      <c r="H7" s="46" t="e">
        <f>OR($G$7,$F$7)</f>
        <v>#REF!</v>
      </c>
      <c r="I7" s="46" t="e">
        <f>IF($H$7,IF($G$7,"atb","bta"),IF($E$7,"nca","ncb"))</f>
        <v>#REF!</v>
      </c>
      <c r="J7" s="46" t="e">
        <f>IF($H$7,0,IF($B$4,IF($E$7,IF($C$7&gt;=0,$D$6,$D$6+$C$7),IF($C$7&gt;=0,$D$6+$C$7,$D$6)),IF($E$7,SUM($D$6,$Q$7),SUM($D$6,$R$7))))</f>
        <v>#REF!</v>
      </c>
      <c r="K7" s="46"/>
      <c r="L7" s="46"/>
      <c r="M7" s="46" t="e">
        <f>IF(COUNTIF(#REF!, "= 0")+ COUNTBLANK(#REF!) = 1,NA(),IF($B$4,NA(),IF($C$7&gt;=0,SUM($D$6,$R$7),NA())))</f>
        <v>#REF!</v>
      </c>
      <c r="N7" s="46" t="e">
        <f>IF(COUNTIF(#REF!, "= 0")+ COUNTBLANK(#REF!) = 1,NA(),IF($B$4,NA(),IF($C$7&gt;=0,NA(),SUM($D$6,$Q$7))))</f>
        <v>#REF!</v>
      </c>
      <c r="O7" s="46" t="e">
        <f>$C$7</f>
        <v>#REF!</v>
      </c>
      <c r="P7" s="46" t="e">
        <f>$C$7</f>
        <v>#REF!</v>
      </c>
      <c r="Q7" s="46">
        <f>SUMIF($Z$7:$Z$7,"&lt;0")</f>
        <v>0</v>
      </c>
      <c r="R7" s="46">
        <f>SUMIF($Z$7:$Z$7,"&gt;0")</f>
        <v>0</v>
      </c>
      <c r="S7" s="46" t="e">
        <f>IF($B$4,IF($I$7="nca",IF($C$7&gt;=0,0,ABS($C$7)),IF($I$7="ncb",0,IF($I$7="atb",IF($C$7&gt;=0,0,IF($D$6&lt;0,0,IF(ABS($C$7)&gt;$D$6,$D$6,ABS($C$7)))),IF($I$7="bta",0,"err")))),)</f>
        <v>#REF!</v>
      </c>
      <c r="T7" s="46" t="e">
        <f>IF($B$4,IF($I$7="nca",IF($C$7&lt;0,0,ABS($C$7)),IF($I$7="ncb",0,IF($I$7="atb",IF($C$7&lt;=0,0,$C$7),IF($I$7="bta",IF($C$7&lt;=0,0,$V$7+$C$7),"err")))),)</f>
        <v>#REF!</v>
      </c>
      <c r="U7" s="46" t="e">
        <f>IF($B$4,IF($I$7="nca",0,IF($I$7="ncb",IF($C$7&lt;=0,-ABS($C$7),0),IF($I$7="atb",IF($C$7&lt;0,$C$7+$S$7,0),IF($I$7="bta",IF($C$7&lt;=0,$C$7,0),"err")))),)</f>
        <v>#REF!</v>
      </c>
      <c r="V7" s="46" t="e">
        <f>IF($B$4,IF($I$7="nca",0,IF($I$7="ncb",IF($C$7&gt;=0,-ABS($C$7),0),IF($I$7="atb",0,IF($I$7="bta",IF($C$7&lt;=0,0,IF($D$6&gt;0,0,IF(ABS($C$7)&lt;ABS($D$6),-ABS($C$7),$D$6))),"err")))),)</f>
        <v>#REF!</v>
      </c>
      <c r="W7" s="46" t="e">
        <f>IF($C$7&gt;=0,IF($B$4,IF($C$7=0,NA(),$D$7),NA()),NA())</f>
        <v>#REF!</v>
      </c>
      <c r="X7" s="46" t="e">
        <f>IF($C$7&lt;0,IF($B$4,IF($C$7=0,NA(),$D$7),NA()),NA())</f>
        <v>#REF!</v>
      </c>
      <c r="Y7" s="46" t="e">
        <f>$D$4</f>
        <v>#REF!</v>
      </c>
      <c r="Z7" s="46" t="e">
        <f>#REF!</f>
        <v>#REF!</v>
      </c>
      <c r="AA7" s="46">
        <v>0</v>
      </c>
      <c r="AB7" s="46">
        <v>0</v>
      </c>
      <c r="AC7" s="46">
        <f>IF($B$4,,IF($I$7="nca",IF($Z$7&gt;=0,0,ABS($Z$7)),IF($I$7="ncb",0,IF($I$7="atb",IF($Z$7&gt;=0,0,IF($D$6-$AA$7&lt;0,0,IF(ABS($Z$7)&gt;$D$6-$AA$7,$D$6-$AA$7,ABS($Z$7)))),IF($I$7="bta",0,"err")))))</f>
        <v>0</v>
      </c>
      <c r="AD7" s="46">
        <f>IF($B$4,,IF($I$7="nca",0,IF($I$7="ncb",IF($Z$7&gt;=0,-ABS($Z$7),0),IF($I$7="atb",0,IF($I$7="bta",IF($Z$7&lt;=0,0,IF($D$6+$AB$7&gt;0,0,IF(ABS($Z$7)&lt;ABS($D$6+$AB$7),-ABS($Z$7),$D$6+$AB$7))),"err")))))</f>
        <v>0</v>
      </c>
      <c r="AE7" s="46">
        <f>IF($B$4,,IF($I$7="nca",0,IF($I$7="ncb",IF($Z$7&lt;=0,-ABS($Z$7),0),IF($I$7="atb",IF($Z$7&lt;0,$Z$7+$AC$7,0),IF($I$7="bta",IF($Z$7&lt;=0,$Z$7,0),"err")))))</f>
        <v>0</v>
      </c>
      <c r="AF7" s="46">
        <f>IF($B$4,,IF($I$7="nca",IF($Z$7&lt;0,0,ABS($Z$7)),IF($I$7="ncb",0,IF($I$7="atb",IF($Z$7&lt;=0,0,$Z$7),IF($I$7="bta",IF($Z$7&lt;=0,0,$AD$7+$Z$7),"err")))))</f>
        <v>0</v>
      </c>
      <c r="AG7" s="46" t="b">
        <f>IF(SUM(COUNTIFS($AF$7,"&lt;&gt;0",$AF$7,"&lt;&gt;"),COUNTIFS($AC$7,"&lt;&gt;0",$AC$7,"&lt;&gt;"),COUNTIFS($AD$7,"&lt;&gt;0",$AD$7,"&lt;&gt;"),COUNTIFS($AE$7,"&lt;&gt;0",$AE$7,"&lt;&gt;"))=2,TRUE,FALSE)</f>
        <v>0</v>
      </c>
      <c r="AH7" s="46" t="e">
        <f>IF($B$4,NA(),IF($Z$7=0,NA(),IF($AG$7,SUM($AC$7,$AF$7,$AD$7,$AE$7)/2,IF(OR($AF$7&lt;&gt;0,$AD$7&lt;&gt;0),$D$6+$AB$7,$D$6-$AA$7)+$Z$7/2)))</f>
        <v>#N/A</v>
      </c>
    </row>
    <row r="8" spans="1:34">
      <c r="A8" s="46"/>
      <c r="B8" s="46"/>
      <c r="C8" s="46" t="e">
        <f>#REF!</f>
        <v>#REF!</v>
      </c>
      <c r="D8" s="46" t="e">
        <f>SUM($D$7,$C$8)</f>
        <v>#REF!</v>
      </c>
      <c r="E8" s="46" t="e">
        <f>$D$7&gt;=0</f>
        <v>#REF!</v>
      </c>
      <c r="F8" s="46" t="e">
        <f>IF($B$4,AND($D$7&lt;=0,SUM($D$7,$C$8)&gt; 0),AND($D$7&lt;=0,SUM($D$7,$R$8)&gt; 0))</f>
        <v>#REF!</v>
      </c>
      <c r="G8" s="46" t="e">
        <f>IF($B$4,AND($D$7&gt;=0,SUM($D$7,$C$8)&lt; 0),AND($D$7&gt;=0,SUM($D$7,$Q$8)&lt; 0))</f>
        <v>#REF!</v>
      </c>
      <c r="H8" s="46" t="e">
        <f>OR($G$8,$F$8)</f>
        <v>#REF!</v>
      </c>
      <c r="I8" s="46" t="e">
        <f>IF($H$8,IF($G$8,"atb","bta"),IF($E$8,"nca","ncb"))</f>
        <v>#REF!</v>
      </c>
      <c r="J8" s="46" t="e">
        <f>IF($H$8,0,IF($B$4,IF($E$8,IF($C$8&gt;=0,$D$7,$D$7+$C$8),IF($C$8&gt;=0,$D$7+$C$8,$D$7)),IF($E$8,SUM($D$7,$Q$8),SUM($D$7,$R$8))))</f>
        <v>#REF!</v>
      </c>
      <c r="K8" s="46"/>
      <c r="L8" s="46"/>
      <c r="M8" s="46" t="e">
        <f>IF(COUNTIF(#REF!, "= 0")+ COUNTBLANK(#REF!) = 1,NA(),IF($B$4,NA(),IF($C$8&gt;=0,SUM($D$7,$R$8),NA())))</f>
        <v>#REF!</v>
      </c>
      <c r="N8" s="46" t="e">
        <f>IF(COUNTIF(#REF!, "= 0")+ COUNTBLANK(#REF!) = 1,NA(),IF($B$4,NA(),IF($C$8&gt;=0,NA(),SUM($D$7,$Q$8))))</f>
        <v>#REF!</v>
      </c>
      <c r="O8" s="46" t="e">
        <f>$C$8</f>
        <v>#REF!</v>
      </c>
      <c r="P8" s="46" t="e">
        <f>$C$8</f>
        <v>#REF!</v>
      </c>
      <c r="Q8" s="46">
        <f>SUMIF($Z$8:$Z$8,"&lt;0")</f>
        <v>0</v>
      </c>
      <c r="R8" s="46">
        <f>SUMIF($Z$8:$Z$8,"&gt;0")</f>
        <v>0</v>
      </c>
      <c r="S8" s="46" t="e">
        <f>IF($B$4,IF($I$8="nca",IF($C$8&gt;=0,0,ABS($C$8)),IF($I$8="ncb",0,IF($I$8="atb",IF($C$8&gt;=0,0,IF($D$7&lt;0,0,IF(ABS($C$8)&gt;$D$7,$D$7,ABS($C$8)))),IF($I$8="bta",0,"err")))),)</f>
        <v>#REF!</v>
      </c>
      <c r="T8" s="46" t="e">
        <f>IF($B$4,IF($I$8="nca",IF($C$8&lt;0,0,ABS($C$8)),IF($I$8="ncb",0,IF($I$8="atb",IF($C$8&lt;=0,0,$C$8),IF($I$8="bta",IF($C$8&lt;=0,0,$V$8+$C$8),"err")))),)</f>
        <v>#REF!</v>
      </c>
      <c r="U8" s="46" t="e">
        <f>IF($B$4,IF($I$8="nca",0,IF($I$8="ncb",IF($C$8&lt;=0,-ABS($C$8),0),IF($I$8="atb",IF($C$8&lt;0,$C$8+$S$8,0),IF($I$8="bta",IF($C$8&lt;=0,$C$8,0),"err")))),)</f>
        <v>#REF!</v>
      </c>
      <c r="V8" s="46" t="e">
        <f>IF($B$4,IF($I$8="nca",0,IF($I$8="ncb",IF($C$8&gt;=0,-ABS($C$8),0),IF($I$8="atb",0,IF($I$8="bta",IF($C$8&lt;=0,0,IF($D$7&gt;0,0,IF(ABS($C$8)&lt;ABS($D$7),-ABS($C$8),$D$7))),"err")))),)</f>
        <v>#REF!</v>
      </c>
      <c r="W8" s="46" t="e">
        <f>IF($C$8&gt;=0,IF($B$4,IF($C$8=0,NA(),$D$8),NA()),NA())</f>
        <v>#REF!</v>
      </c>
      <c r="X8" s="46" t="e">
        <f>IF($C$8&lt;0,IF($B$4,IF($C$8=0,NA(),$D$8),NA()),NA())</f>
        <v>#REF!</v>
      </c>
      <c r="Y8" s="46" t="e">
        <f>IF(IF($B$4,$C$5 = 0,COUNTIF(#REF!, "= 0")+ COUNTBLANK(#REF!) = 1),$Y$7,NA())</f>
        <v>#REF!</v>
      </c>
      <c r="Z8" s="46" t="e">
        <f>#REF!</f>
        <v>#REF!</v>
      </c>
      <c r="AA8" s="46">
        <v>0</v>
      </c>
      <c r="AB8" s="46">
        <v>0</v>
      </c>
      <c r="AC8" s="46">
        <f>IF($B$4,,IF($I$8="nca",IF($Z$8&gt;=0,0,ABS($Z$8)),IF($I$8="ncb",0,IF($I$8="atb",IF($Z$8&gt;=0,0,IF($D$7-$AA$8&lt;0,0,IF(ABS($Z$8)&gt;$D$7-$AA$8,$D$7-$AA$8,ABS($Z$8)))),IF($I$8="bta",0,"err")))))</f>
        <v>0</v>
      </c>
      <c r="AD8" s="46">
        <f>IF($B$4,,IF($I$8="nca",0,IF($I$8="ncb",IF($Z$8&gt;=0,-ABS($Z$8),0),IF($I$8="atb",0,IF($I$8="bta",IF($Z$8&lt;=0,0,IF($D$7+$AB$8&gt;0,0,IF(ABS($Z$8)&lt;ABS($D$7+$AB$8),-ABS($Z$8),$D$7+$AB$8))),"err")))))</f>
        <v>0</v>
      </c>
      <c r="AE8" s="46">
        <f>IF($B$4,,IF($I$8="nca",0,IF($I$8="ncb",IF($Z$8&lt;=0,-ABS($Z$8),0),IF($I$8="atb",IF($Z$8&lt;0,$Z$8+$AC$8,0),IF($I$8="bta",IF($Z$8&lt;=0,$Z$8,0),"err")))))</f>
        <v>0</v>
      </c>
      <c r="AF8" s="46">
        <f>IF($B$4,,IF($I$8="nca",IF($Z$8&lt;0,0,ABS($Z$8)),IF($I$8="ncb",0,IF($I$8="atb",IF($Z$8&lt;=0,0,$Z$8),IF($I$8="bta",IF($Z$8&lt;=0,0,$AD$8+$Z$8),"err")))))</f>
        <v>0</v>
      </c>
      <c r="AG8" s="46" t="b">
        <f>IF(SUM(COUNTIFS($AF$8,"&lt;&gt;0",$AF$8,"&lt;&gt;"),COUNTIFS($AC$8,"&lt;&gt;0",$AC$8,"&lt;&gt;"),COUNTIFS($AD$8,"&lt;&gt;0",$AD$8,"&lt;&gt;"),COUNTIFS($AE$8,"&lt;&gt;0",$AE$8,"&lt;&gt;"))=2,TRUE,FALSE)</f>
        <v>0</v>
      </c>
      <c r="AH8" s="46" t="e">
        <f>IF($B$4,NA(),IF($Z$8=0,NA(),IF($AG$8,SUM($AC$8,$AF$8,$AD$8,$AE$8)/2,IF(OR($AF$8&lt;&gt;0,$AD$8&lt;&gt;0),$D$7+$AB$8,$D$7-$AA$8)+$Z$8/2)))</f>
        <v>#N/A</v>
      </c>
    </row>
    <row r="9" spans="1:34">
      <c r="A9" s="46"/>
      <c r="B9" s="46"/>
      <c r="C9" s="46" t="e">
        <f>#REF!</f>
        <v>#REF!</v>
      </c>
      <c r="D9" s="46" t="e">
        <f>SUM($D$8,$C$9)</f>
        <v>#REF!</v>
      </c>
      <c r="E9" s="46" t="e">
        <f>$D$8&gt;=0</f>
        <v>#REF!</v>
      </c>
      <c r="F9" s="46" t="e">
        <f>IF($B$4,AND($D$8&lt;=0,SUM($D$8,$C$9)&gt; 0),AND($D$8&lt;=0,SUM($D$8,$R$9)&gt; 0))</f>
        <v>#REF!</v>
      </c>
      <c r="G9" s="46" t="e">
        <f>IF($B$4,AND($D$8&gt;=0,SUM($D$8,$C$9)&lt; 0),AND($D$8&gt;=0,SUM($D$8,$Q$9)&lt; 0))</f>
        <v>#REF!</v>
      </c>
      <c r="H9" s="46" t="e">
        <f>OR($G$9,$F$9)</f>
        <v>#REF!</v>
      </c>
      <c r="I9" s="46" t="e">
        <f>IF($H$9,IF($G$9,"atb","bta"),IF($E$9,"nca","ncb"))</f>
        <v>#REF!</v>
      </c>
      <c r="J9" s="46" t="e">
        <f>IF($H$9,0,IF($B$4,IF($E$9,IF($C$9&gt;=0,$D$8,$D$8+$C$9),IF($C$9&gt;=0,$D$8+$C$9,$D$8)),IF($E$9,SUM($D$8,$Q$9),SUM($D$8,$R$9))))</f>
        <v>#REF!</v>
      </c>
      <c r="K9" s="46"/>
      <c r="L9" s="46"/>
      <c r="M9" s="46" t="e">
        <f>IF(COUNTIF(#REF!, "= 0")+ COUNTBLANK(#REF!) = 1,NA(),IF($B$4,NA(),IF($C$9&gt;=0,SUM($D$8,$R$9),NA())))</f>
        <v>#REF!</v>
      </c>
      <c r="N9" s="46" t="e">
        <f>IF(COUNTIF(#REF!, "= 0")+ COUNTBLANK(#REF!) = 1,NA(),IF($B$4,NA(),IF($C$9&gt;=0,NA(),SUM($D$8,$Q$9))))</f>
        <v>#REF!</v>
      </c>
      <c r="O9" s="46" t="e">
        <f>$C$9</f>
        <v>#REF!</v>
      </c>
      <c r="P9" s="46" t="e">
        <f>$C$9</f>
        <v>#REF!</v>
      </c>
      <c r="Q9" s="46">
        <f>SUMIF($Z$9:$Z$9,"&lt;0")</f>
        <v>0</v>
      </c>
      <c r="R9" s="46">
        <f>SUMIF($Z$9:$Z$9,"&gt;0")</f>
        <v>0</v>
      </c>
      <c r="S9" s="46" t="e">
        <f>IF($B$4,IF($I$9="nca",IF($C$9&gt;=0,0,ABS($C$9)),IF($I$9="ncb",0,IF($I$9="atb",IF($C$9&gt;=0,0,IF($D$8&lt;0,0,IF(ABS($C$9)&gt;$D$8,$D$8,ABS($C$9)))),IF($I$9="bta",0,"err")))),)</f>
        <v>#REF!</v>
      </c>
      <c r="T9" s="46" t="e">
        <f>IF($B$4,IF($I$9="nca",IF($C$9&lt;0,0,ABS($C$9)),IF($I$9="ncb",0,IF($I$9="atb",IF($C$9&lt;=0,0,$C$9),IF($I$9="bta",IF($C$9&lt;=0,0,$V$9+$C$9),"err")))),)</f>
        <v>#REF!</v>
      </c>
      <c r="U9" s="46" t="e">
        <f>IF($B$4,IF($I$9="nca",0,IF($I$9="ncb",IF($C$9&lt;=0,-ABS($C$9),0),IF($I$9="atb",IF($C$9&lt;0,$C$9+$S$9,0),IF($I$9="bta",IF($C$9&lt;=0,$C$9,0),"err")))),)</f>
        <v>#REF!</v>
      </c>
      <c r="V9" s="46" t="e">
        <f>IF($B$4,IF($I$9="nca",0,IF($I$9="ncb",IF($C$9&gt;=0,-ABS($C$9),0),IF($I$9="atb",0,IF($I$9="bta",IF($C$9&lt;=0,0,IF($D$8&gt;0,0,IF(ABS($C$9)&lt;ABS($D$8),-ABS($C$9),$D$8))),"err")))),)</f>
        <v>#REF!</v>
      </c>
      <c r="W9" s="46" t="e">
        <f>IF($C$9&gt;=0,IF($B$4,IF($C$9=0,NA(),$D$9),NA()),NA())</f>
        <v>#REF!</v>
      </c>
      <c r="X9" s="46" t="e">
        <f>IF($C$9&lt;0,IF($B$4,IF($C$9=0,NA(),$D$9),NA()),NA())</f>
        <v>#REF!</v>
      </c>
      <c r="Y9" s="46" t="e">
        <f>$D$5</f>
        <v>#REF!</v>
      </c>
      <c r="Z9" s="46" t="e">
        <f>#REF!</f>
        <v>#REF!</v>
      </c>
      <c r="AA9" s="46">
        <v>0</v>
      </c>
      <c r="AB9" s="46">
        <v>0</v>
      </c>
      <c r="AC9" s="46">
        <f>IF($B$4,,IF($I$9="nca",IF($Z$9&gt;=0,0,ABS($Z$9)),IF($I$9="ncb",0,IF($I$9="atb",IF($Z$9&gt;=0,0,IF($D$8-$AA$9&lt;0,0,IF(ABS($Z$9)&gt;$D$8-$AA$9,$D$8-$AA$9,ABS($Z$9)))),IF($I$9="bta",0,"err")))))</f>
        <v>0</v>
      </c>
      <c r="AD9" s="46">
        <f>IF($B$4,,IF($I$9="nca",0,IF($I$9="ncb",IF($Z$9&gt;=0,-ABS($Z$9),0),IF($I$9="atb",0,IF($I$9="bta",IF($Z$9&lt;=0,0,IF($D$8+$AB$9&gt;0,0,IF(ABS($Z$9)&lt;ABS($D$8+$AB$9),-ABS($Z$9),$D$8+$AB$9))),"err")))))</f>
        <v>0</v>
      </c>
      <c r="AE9" s="46">
        <f>IF($B$4,,IF($I$9="nca",0,IF($I$9="ncb",IF($Z$9&lt;=0,-ABS($Z$9),0),IF($I$9="atb",IF($Z$9&lt;0,$Z$9+$AC$9,0),IF($I$9="bta",IF($Z$9&lt;=0,$Z$9,0),"err")))))</f>
        <v>0</v>
      </c>
      <c r="AF9" s="46">
        <f>IF($B$4,,IF($I$9="nca",IF($Z$9&lt;0,0,ABS($Z$9)),IF($I$9="ncb",0,IF($I$9="atb",IF($Z$9&lt;=0,0,$Z$9),IF($I$9="bta",IF($Z$9&lt;=0,0,$AD$9+$Z$9),"err")))))</f>
        <v>0</v>
      </c>
      <c r="AG9" s="46" t="b">
        <f>IF(SUM(COUNTIFS($AF$9,"&lt;&gt;0",$AF$9,"&lt;&gt;"),COUNTIFS($AC$9,"&lt;&gt;0",$AC$9,"&lt;&gt;"),COUNTIFS($AD$9,"&lt;&gt;0",$AD$9,"&lt;&gt;"),COUNTIFS($AE$9,"&lt;&gt;0",$AE$9,"&lt;&gt;"))=2,TRUE,FALSE)</f>
        <v>0</v>
      </c>
      <c r="AH9" s="46" t="e">
        <f>IF($B$4,NA(),IF($Z$9=0,NA(),IF($AG$9,SUM($AC$9,$AF$9,$AD$9,$AE$9)/2,IF(OR($AF$9&lt;&gt;0,$AD$9&lt;&gt;0),$D$8+$AB$9,$D$8-$AA$9)+$Z$9/2)))</f>
        <v>#N/A</v>
      </c>
    </row>
    <row r="10" spans="1:34">
      <c r="A10" s="46"/>
      <c r="B10" s="46"/>
      <c r="C10" s="46" t="e">
        <f>#REF!</f>
        <v>#REF!</v>
      </c>
      <c r="D10" s="46" t="e">
        <f>SUM($D$9,$C$10)</f>
        <v>#REF!</v>
      </c>
      <c r="E10" s="46" t="e">
        <f>$D$9&gt;=0</f>
        <v>#REF!</v>
      </c>
      <c r="F10" s="46" t="e">
        <f>IF($B$4,AND($D$9&lt;=0,SUM($D$9,$C$10)&gt; 0),AND($D$9&lt;=0,SUM($D$9,$R$10)&gt; 0))</f>
        <v>#REF!</v>
      </c>
      <c r="G10" s="46" t="e">
        <f>IF($B$4,AND($D$9&gt;=0,SUM($D$9,$C$10)&lt; 0),AND($D$9&gt;=0,SUM($D$9,$Q$10)&lt; 0))</f>
        <v>#REF!</v>
      </c>
      <c r="H10" s="46" t="e">
        <f>OR($G$10,$F$10)</f>
        <v>#REF!</v>
      </c>
      <c r="I10" s="46" t="e">
        <f>IF($H$10,IF($G$10,"atb","bta"),IF($E$10,"nca","ncb"))</f>
        <v>#REF!</v>
      </c>
      <c r="J10" s="46" t="e">
        <f>IF($H$10,0,IF($B$4,IF($E$10,IF($C$10&gt;=0,$D$9,$D$9+$C$10),IF($C$10&gt;=0,$D$9+$C$10,$D$9)),IF($E$10,SUM($D$9,$Q$10),SUM($D$9,$R$10))))</f>
        <v>#REF!</v>
      </c>
      <c r="K10" s="46"/>
      <c r="L10" s="46"/>
      <c r="M10" s="46" t="e">
        <f>IF(COUNTIF(#REF!, "= 0")+ COUNTBLANK(#REF!) = 1,NA(),IF($B$4,NA(),IF($C$10&gt;=0,SUM($D$9,$R$10),NA())))</f>
        <v>#REF!</v>
      </c>
      <c r="N10" s="46" t="e">
        <f>IF(COUNTIF(#REF!, "= 0")+ COUNTBLANK(#REF!) = 1,NA(),IF($B$4,NA(),IF($C$10&gt;=0,NA(),SUM($D$9,$Q$10))))</f>
        <v>#REF!</v>
      </c>
      <c r="O10" s="46" t="e">
        <f>$C$10</f>
        <v>#REF!</v>
      </c>
      <c r="P10" s="46" t="e">
        <f>$C$10</f>
        <v>#REF!</v>
      </c>
      <c r="Q10" s="46">
        <f>SUMIF($Z$10:$Z$10,"&lt;0")</f>
        <v>0</v>
      </c>
      <c r="R10" s="46">
        <f>SUMIF($Z$10:$Z$10,"&gt;0")</f>
        <v>0</v>
      </c>
      <c r="S10" s="46" t="e">
        <f>IF($B$4,IF($I$10="nca",IF($C$10&gt;=0,0,ABS($C$10)),IF($I$10="ncb",0,IF($I$10="atb",IF($C$10&gt;=0,0,IF($D$9&lt;0,0,IF(ABS($C$10)&gt;$D$9,$D$9,ABS($C$10)))),IF($I$10="bta",0,"err")))),)</f>
        <v>#REF!</v>
      </c>
      <c r="T10" s="46" t="e">
        <f>IF($B$4,IF($I$10="nca",IF($C$10&lt;0,0,ABS($C$10)),IF($I$10="ncb",0,IF($I$10="atb",IF($C$10&lt;=0,0,$C$10),IF($I$10="bta",IF($C$10&lt;=0,0,$V$10+$C$10),"err")))),)</f>
        <v>#REF!</v>
      </c>
      <c r="U10" s="46" t="e">
        <f>IF($B$4,IF($I$10="nca",0,IF($I$10="ncb",IF($C$10&lt;=0,-ABS($C$10),0),IF($I$10="atb",IF($C$10&lt;0,$C$10+$S$10,0),IF($I$10="bta",IF($C$10&lt;=0,$C$10,0),"err")))),)</f>
        <v>#REF!</v>
      </c>
      <c r="V10" s="46" t="e">
        <f>IF($B$4,IF($I$10="nca",0,IF($I$10="ncb",IF($C$10&gt;=0,-ABS($C$10),0),IF($I$10="atb",0,IF($I$10="bta",IF($C$10&lt;=0,0,IF($D$9&gt;0,0,IF(ABS($C$10)&lt;ABS($D$9),-ABS($C$10),$D$9))),"err")))),)</f>
        <v>#REF!</v>
      </c>
      <c r="W10" s="46" t="e">
        <f>IF($C$10&gt;=0,IF($B$4,IF($C$10=0,NA(),$D$10),NA()),NA())</f>
        <v>#REF!</v>
      </c>
      <c r="X10" s="46" t="e">
        <f>IF($C$10&lt;0,IF($B$4,IF($C$10=0,NA(),$D$10),NA()),NA())</f>
        <v>#REF!</v>
      </c>
      <c r="Y10" s="46" t="e">
        <f>$D$5</f>
        <v>#REF!</v>
      </c>
      <c r="Z10" s="46" t="e">
        <f>#REF!</f>
        <v>#REF!</v>
      </c>
      <c r="AA10" s="46">
        <v>0</v>
      </c>
      <c r="AB10" s="46">
        <v>0</v>
      </c>
      <c r="AC10" s="46">
        <f>IF($B$4,,IF($I$10="nca",IF($Z$10&gt;=0,0,ABS($Z$10)),IF($I$10="ncb",0,IF($I$10="atb",IF($Z$10&gt;=0,0,IF($D$9-$AA$10&lt;0,0,IF(ABS($Z$10)&gt;$D$9-$AA$10,$D$9-$AA$10,ABS($Z$10)))),IF($I$10="bta",0,"err")))))</f>
        <v>0</v>
      </c>
      <c r="AD10" s="46">
        <f>IF($B$4,,IF($I$10="nca",0,IF($I$10="ncb",IF($Z$10&gt;=0,-ABS($Z$10),0),IF($I$10="atb",0,IF($I$10="bta",IF($Z$10&lt;=0,0,IF($D$9+$AB$10&gt;0,0,IF(ABS($Z$10)&lt;ABS($D$9+$AB$10),-ABS($Z$10),$D$9+$AB$10))),"err")))))</f>
        <v>0</v>
      </c>
      <c r="AE10" s="46">
        <f>IF($B$4,,IF($I$10="nca",0,IF($I$10="ncb",IF($Z$10&lt;=0,-ABS($Z$10),0),IF($I$10="atb",IF($Z$10&lt;0,$Z$10+$AC$10,0),IF($I$10="bta",IF($Z$10&lt;=0,$Z$10,0),"err")))))</f>
        <v>0</v>
      </c>
      <c r="AF10" s="46">
        <f>IF($B$4,,IF($I$10="nca",IF($Z$10&lt;0,0,ABS($Z$10)),IF($I$10="ncb",0,IF($I$10="atb",IF($Z$10&lt;=0,0,$Z$10),IF($I$10="bta",IF($Z$10&lt;=0,0,$AD$10+$Z$10),"err")))))</f>
        <v>0</v>
      </c>
      <c r="AG10" s="46" t="b">
        <f>IF(SUM(COUNTIFS($AF$10,"&lt;&gt;0",$AF$10,"&lt;&gt;"),COUNTIFS($AC$10,"&lt;&gt;0",$AC$10,"&lt;&gt;"),COUNTIFS($AD$10,"&lt;&gt;0",$AD$10,"&lt;&gt;"),COUNTIFS($AE$10,"&lt;&gt;0",$AE$10,"&lt;&gt;"))=2,TRUE,FALSE)</f>
        <v>0</v>
      </c>
      <c r="AH10" s="46" t="e">
        <f>IF($B$4,NA(),IF($Z$10=0,NA(),IF($AG$10,SUM($AC$10,$AF$10,$AD$10,$AE$10)/2,IF(OR($AF$10&lt;&gt;0,$AD$10&lt;&gt;0),$D$9+$AB$10,$D$9-$AA$10)+$Z$10/2)))</f>
        <v>#N/A</v>
      </c>
    </row>
    <row r="11" spans="1:34">
      <c r="A11" s="46"/>
      <c r="B11" s="46"/>
      <c r="C11" s="46" t="e">
        <f>#REF!</f>
        <v>#REF!</v>
      </c>
      <c r="D11" s="46" t="e">
        <f>SUM($D$10,$C$11)</f>
        <v>#REF!</v>
      </c>
      <c r="E11" s="46" t="e">
        <f>$D$10&gt;=0</f>
        <v>#REF!</v>
      </c>
      <c r="F11" s="46" t="e">
        <f>IF($B$4,AND($D$10&lt;=0,SUM($D$10,$C$11)&gt; 0),AND($D$10&lt;=0,SUM($D$10,$R$11)&gt; 0))</f>
        <v>#REF!</v>
      </c>
      <c r="G11" s="46" t="e">
        <f>IF($B$4,AND($D$10&gt;=0,SUM($D$10,$C$11)&lt; 0),AND($D$10&gt;=0,SUM($D$10,$Q$11)&lt; 0))</f>
        <v>#REF!</v>
      </c>
      <c r="H11" s="46" t="e">
        <f>OR($G$11,$F$11)</f>
        <v>#REF!</v>
      </c>
      <c r="I11" s="46" t="e">
        <f>IF($H$11,IF($G$11,"atb","bta"),IF($E$11,"nca","ncb"))</f>
        <v>#REF!</v>
      </c>
      <c r="J11" s="46" t="e">
        <f>IF($H$11,0,IF($B$4,IF($E$11,IF($C$11&gt;=0,$D$10,$D$10+$C$11),IF($C$11&gt;=0,$D$10+$C$11,$D$10)),IF($E$11,SUM($D$10,$Q$11),SUM($D$10,$R$11))))</f>
        <v>#REF!</v>
      </c>
      <c r="K11" s="46"/>
      <c r="L11" s="46"/>
      <c r="M11" s="46" t="e">
        <f>IF(COUNTIF(#REF!, "= 0")+ COUNTBLANK(#REF!) = 1,NA(),IF($B$4,NA(),IF($C$11&gt;=0,SUM($D$10,$R$11),NA())))</f>
        <v>#REF!</v>
      </c>
      <c r="N11" s="46" t="e">
        <f>IF(COUNTIF(#REF!, "= 0")+ COUNTBLANK(#REF!) = 1,NA(),IF($B$4,NA(),IF($C$11&gt;=0,NA(),SUM($D$10,$Q$11))))</f>
        <v>#REF!</v>
      </c>
      <c r="O11" s="46" t="e">
        <f>$C$11</f>
        <v>#REF!</v>
      </c>
      <c r="P11" s="46" t="e">
        <f>$C$11</f>
        <v>#REF!</v>
      </c>
      <c r="Q11" s="46">
        <f>SUMIF($Z$11:$Z$11,"&lt;0")</f>
        <v>0</v>
      </c>
      <c r="R11" s="46">
        <f>SUMIF($Z$11:$Z$11,"&gt;0")</f>
        <v>0</v>
      </c>
      <c r="S11" s="46" t="e">
        <f>IF($B$4,IF($I$11="nca",IF($C$11&gt;=0,0,ABS($C$11)),IF($I$11="ncb",0,IF($I$11="atb",IF($C$11&gt;=0,0,IF($D$10&lt;0,0,IF(ABS($C$11)&gt;$D$10,$D$10,ABS($C$11)))),IF($I$11="bta",0,"err")))),)</f>
        <v>#REF!</v>
      </c>
      <c r="T11" s="46" t="e">
        <f>IF($B$4,IF($I$11="nca",IF($C$11&lt;0,0,ABS($C$11)),IF($I$11="ncb",0,IF($I$11="atb",IF($C$11&lt;=0,0,$C$11),IF($I$11="bta",IF($C$11&lt;=0,0,$V$11+$C$11),"err")))),)</f>
        <v>#REF!</v>
      </c>
      <c r="U11" s="46" t="e">
        <f>IF($B$4,IF($I$11="nca",0,IF($I$11="ncb",IF($C$11&lt;=0,-ABS($C$11),0),IF($I$11="atb",IF($C$11&lt;0,$C$11+$S$11,0),IF($I$11="bta",IF($C$11&lt;=0,$C$11,0),"err")))),)</f>
        <v>#REF!</v>
      </c>
      <c r="V11" s="46" t="e">
        <f>IF($B$4,IF($I$11="nca",0,IF($I$11="ncb",IF($C$11&gt;=0,-ABS($C$11),0),IF($I$11="atb",0,IF($I$11="bta",IF($C$11&lt;=0,0,IF($D$10&gt;0,0,IF(ABS($C$11)&lt;ABS($D$10),-ABS($C$11),$D$10))),"err")))),)</f>
        <v>#REF!</v>
      </c>
      <c r="W11" s="46" t="e">
        <f>IF($C$11&gt;=0,IF($B$4,IF($C$11=0,NA(),$D$11),NA()),NA())</f>
        <v>#REF!</v>
      </c>
      <c r="X11" s="46" t="e">
        <f>IF($C$11&lt;0,IF($B$4,IF($C$11=0,NA(),$D$11),NA()),NA())</f>
        <v>#REF!</v>
      </c>
      <c r="Y11" s="46" t="e">
        <f>IF(IF($B$4,$C$6 = 0,COUNTIF(#REF!, "= 0")+ COUNTBLANK(#REF!) = 1),$Y$10,NA())</f>
        <v>#REF!</v>
      </c>
      <c r="Z11" s="46" t="e">
        <f>#REF!</f>
        <v>#REF!</v>
      </c>
      <c r="AA11" s="46">
        <v>0</v>
      </c>
      <c r="AB11" s="46">
        <v>0</v>
      </c>
      <c r="AC11" s="46">
        <f>IF($B$4,,IF($I$11="nca",IF($Z$11&gt;=0,0,ABS($Z$11)),IF($I$11="ncb",0,IF($I$11="atb",IF($Z$11&gt;=0,0,IF($D$10-$AA$11&lt;0,0,IF(ABS($Z$11)&gt;$D$10-$AA$11,$D$10-$AA$11,ABS($Z$11)))),IF($I$11="bta",0,"err")))))</f>
        <v>0</v>
      </c>
      <c r="AD11" s="46">
        <f>IF($B$4,,IF($I$11="nca",0,IF($I$11="ncb",IF($Z$11&gt;=0,-ABS($Z$11),0),IF($I$11="atb",0,IF($I$11="bta",IF($Z$11&lt;=0,0,IF($D$10+$AB$11&gt;0,0,IF(ABS($Z$11)&lt;ABS($D$10+$AB$11),-ABS($Z$11),$D$10+$AB$11))),"err")))))</f>
        <v>0</v>
      </c>
      <c r="AE11" s="46">
        <f>IF($B$4,,IF($I$11="nca",0,IF($I$11="ncb",IF($Z$11&lt;=0,-ABS($Z$11),0),IF($I$11="atb",IF($Z$11&lt;0,$Z$11+$AC$11,0),IF($I$11="bta",IF($Z$11&lt;=0,$Z$11,0),"err")))))</f>
        <v>0</v>
      </c>
      <c r="AF11" s="46">
        <f>IF($B$4,,IF($I$11="nca",IF($Z$11&lt;0,0,ABS($Z$11)),IF($I$11="ncb",0,IF($I$11="atb",IF($Z$11&lt;=0,0,$Z$11),IF($I$11="bta",IF($Z$11&lt;=0,0,$AD$11+$Z$11),"err")))))</f>
        <v>0</v>
      </c>
      <c r="AG11" s="46" t="b">
        <f>IF(SUM(COUNTIFS($AF$11,"&lt;&gt;0",$AF$11,"&lt;&gt;"),COUNTIFS($AC$11,"&lt;&gt;0",$AC$11,"&lt;&gt;"),COUNTIFS($AD$11,"&lt;&gt;0",$AD$11,"&lt;&gt;"),COUNTIFS($AE$11,"&lt;&gt;0",$AE$11,"&lt;&gt;"))=2,TRUE,FALSE)</f>
        <v>0</v>
      </c>
      <c r="AH11" s="46" t="e">
        <f>IF($B$4,NA(),IF($Z$11=0,NA(),IF($AG$11,SUM($AC$11,$AF$11,$AD$11,$AE$11)/2,IF(OR($AF$11&lt;&gt;0,$AD$11&lt;&gt;0),$D$10+$AB$11,$D$10-$AA$11)+$Z$11/2)))</f>
        <v>#N/A</v>
      </c>
    </row>
    <row r="12" spans="1:34">
      <c r="A12" s="46"/>
      <c r="B12" s="46"/>
      <c r="C12" s="46" t="e">
        <f>#REF!</f>
        <v>#REF!</v>
      </c>
      <c r="D12" s="46" t="e">
        <f>SUM($D$11,$C$12)</f>
        <v>#REF!</v>
      </c>
      <c r="E12" s="46" t="e">
        <f>$D$11&gt;=0</f>
        <v>#REF!</v>
      </c>
      <c r="F12" s="46" t="e">
        <f>IF($B$4,AND($D$11&lt;=0,SUM($D$11,$C$12)&gt; 0),AND($D$11&lt;=0,SUM($D$11,$R$12)&gt; 0))</f>
        <v>#REF!</v>
      </c>
      <c r="G12" s="46" t="e">
        <f>IF($B$4,AND($D$11&gt;=0,SUM($D$11,$C$12)&lt; 0),AND($D$11&gt;=0,SUM($D$11,$Q$12)&lt; 0))</f>
        <v>#REF!</v>
      </c>
      <c r="H12" s="46" t="e">
        <f>OR($G$12,$F$12)</f>
        <v>#REF!</v>
      </c>
      <c r="I12" s="46" t="e">
        <f>IF($H$12,IF($G$12,"atb","bta"),IF($E$12,"nca","ncb"))</f>
        <v>#REF!</v>
      </c>
      <c r="J12" s="46" t="e">
        <f>IF($H$12,0,IF($B$4,IF($E$12,IF($C$12&gt;=0,$D$11,$D$11+$C$12),IF($C$12&gt;=0,$D$11+$C$12,$D$11)),IF($E$12,SUM($D$11,$Q$12),SUM($D$11,$R$12))))</f>
        <v>#REF!</v>
      </c>
      <c r="K12" s="46"/>
      <c r="L12" s="46"/>
      <c r="M12" s="46" t="e">
        <f>IF(COUNTIF(#REF!, "= 0")+ COUNTBLANK(#REF!) = 1,NA(),IF($B$4,NA(),IF($C$12&gt;=0,SUM($D$11,$R$12),NA())))</f>
        <v>#REF!</v>
      </c>
      <c r="N12" s="46" t="e">
        <f>IF(COUNTIF(#REF!, "= 0")+ COUNTBLANK(#REF!) = 1,NA(),IF($B$4,NA(),IF($C$12&gt;=0,NA(),SUM($D$11,$Q$12))))</f>
        <v>#REF!</v>
      </c>
      <c r="O12" s="46" t="e">
        <f>$C$12</f>
        <v>#REF!</v>
      </c>
      <c r="P12" s="46" t="e">
        <f>$C$12</f>
        <v>#REF!</v>
      </c>
      <c r="Q12" s="46">
        <f>SUMIF($Z$12:$Z$12,"&lt;0")</f>
        <v>0</v>
      </c>
      <c r="R12" s="46">
        <f>SUMIF($Z$12:$Z$12,"&gt;0")</f>
        <v>0</v>
      </c>
      <c r="S12" s="46" t="e">
        <f>IF($B$4,IF($I$12="nca",IF($C$12&gt;=0,0,ABS($C$12)),IF($I$12="ncb",0,IF($I$12="atb",IF($C$12&gt;=0,0,IF($D$11&lt;0,0,IF(ABS($C$12)&gt;$D$11,$D$11,ABS($C$12)))),IF($I$12="bta",0,"err")))),)</f>
        <v>#REF!</v>
      </c>
      <c r="T12" s="46" t="e">
        <f>IF($B$4,IF($I$12="nca",IF($C$12&lt;0,0,ABS($C$12)),IF($I$12="ncb",0,IF($I$12="atb",IF($C$12&lt;=0,0,$C$12),IF($I$12="bta",IF($C$12&lt;=0,0,$V$12+$C$12),"err")))),)</f>
        <v>#REF!</v>
      </c>
      <c r="U12" s="46" t="e">
        <f>IF($B$4,IF($I$12="nca",0,IF($I$12="ncb",IF($C$12&lt;=0,-ABS($C$12),0),IF($I$12="atb",IF($C$12&lt;0,$C$12+$S$12,0),IF($I$12="bta",IF($C$12&lt;=0,$C$12,0),"err")))),)</f>
        <v>#REF!</v>
      </c>
      <c r="V12" s="46" t="e">
        <f>IF($B$4,IF($I$12="nca",0,IF($I$12="ncb",IF($C$12&gt;=0,-ABS($C$12),0),IF($I$12="atb",0,IF($I$12="bta",IF($C$12&lt;=0,0,IF($D$11&gt;0,0,IF(ABS($C$12)&lt;ABS($D$11),-ABS($C$12),$D$11))),"err")))),)</f>
        <v>#REF!</v>
      </c>
      <c r="W12" s="46" t="e">
        <f>IF($C$12&gt;=0,IF($B$4,IF($C$12=0,NA(),$D$12),NA()),NA())</f>
        <v>#REF!</v>
      </c>
      <c r="X12" s="46" t="e">
        <f>IF($C$12&lt;0,IF($B$4,IF($C$12=0,NA(),$D$12),NA()),NA())</f>
        <v>#REF!</v>
      </c>
      <c r="Y12" s="46" t="e">
        <f>$D$6</f>
        <v>#REF!</v>
      </c>
      <c r="Z12" s="46" t="e">
        <f>#REF!</f>
        <v>#REF!</v>
      </c>
      <c r="AA12" s="46">
        <v>0</v>
      </c>
      <c r="AB12" s="46">
        <v>0</v>
      </c>
      <c r="AC12" s="46">
        <f>IF($B$4,,IF($I$12="nca",IF($Z$12&gt;=0,0,ABS($Z$12)),IF($I$12="ncb",0,IF($I$12="atb",IF($Z$12&gt;=0,0,IF($D$11-$AA$12&lt;0,0,IF(ABS($Z$12)&gt;$D$11-$AA$12,$D$11-$AA$12,ABS($Z$12)))),IF($I$12="bta",0,"err")))))</f>
        <v>0</v>
      </c>
      <c r="AD12" s="46">
        <f>IF($B$4,,IF($I$12="nca",0,IF($I$12="ncb",IF($Z$12&gt;=0,-ABS($Z$12),0),IF($I$12="atb",0,IF($I$12="bta",IF($Z$12&lt;=0,0,IF($D$11+$AB$12&gt;0,0,IF(ABS($Z$12)&lt;ABS($D$11+$AB$12),-ABS($Z$12),$D$11+$AB$12))),"err")))))</f>
        <v>0</v>
      </c>
      <c r="AE12" s="46">
        <f>IF($B$4,,IF($I$12="nca",0,IF($I$12="ncb",IF($Z$12&lt;=0,-ABS($Z$12),0),IF($I$12="atb",IF($Z$12&lt;0,$Z$12+$AC$12,0),IF($I$12="bta",IF($Z$12&lt;=0,$Z$12,0),"err")))))</f>
        <v>0</v>
      </c>
      <c r="AF12" s="46">
        <f>IF($B$4,,IF($I$12="nca",IF($Z$12&lt;0,0,ABS($Z$12)),IF($I$12="ncb",0,IF($I$12="atb",IF($Z$12&lt;=0,0,$Z$12),IF($I$12="bta",IF($Z$12&lt;=0,0,$AD$12+$Z$12),"err")))))</f>
        <v>0</v>
      </c>
      <c r="AG12" s="46" t="b">
        <f>IF(SUM(COUNTIFS($AF$12,"&lt;&gt;0",$AF$12,"&lt;&gt;"),COUNTIFS($AC$12,"&lt;&gt;0",$AC$12,"&lt;&gt;"),COUNTIFS($AD$12,"&lt;&gt;0",$AD$12,"&lt;&gt;"),COUNTIFS($AE$12,"&lt;&gt;0",$AE$12,"&lt;&gt;"))=2,TRUE,FALSE)</f>
        <v>0</v>
      </c>
      <c r="AH12" s="46" t="e">
        <f>IF($B$4,NA(),IF($Z$12=0,NA(),IF($AG$12,SUM($AC$12,$AF$12,$AD$12,$AE$12)/2,IF(OR($AF$12&lt;&gt;0,$AD$12&lt;&gt;0),$D$11+$AB$12,$D$11-$AA$12)+$Z$12/2)))</f>
        <v>#N/A</v>
      </c>
    </row>
    <row r="13" spans="1:34">
      <c r="A13" s="46"/>
      <c r="B13" s="46"/>
      <c r="C13" s="46" t="e">
        <f>#REF!</f>
        <v>#REF!</v>
      </c>
      <c r="D13" s="46" t="e">
        <f>$C$13</f>
        <v>#REF!</v>
      </c>
      <c r="E13" s="46"/>
      <c r="F13" s="46"/>
      <c r="G13" s="46"/>
      <c r="H13" s="46"/>
      <c r="I13" s="46"/>
      <c r="J13" s="46"/>
      <c r="K13" s="46" t="e">
        <f>IF(COUNTIF(#REF!, "= 0")+ COUNTBLANK(#REF!) = 1,NA(),IF($B$3,$D$13,NA()))</f>
        <v>#REF!</v>
      </c>
      <c r="L13" s="46" t="e">
        <f>$D$13</f>
        <v>#REF!</v>
      </c>
      <c r="M13" s="46" t="e">
        <f>IF(COUNTIF(#REF!, "= 0")+ COUNTBLANK(#REF!) = 1,NA(),IF($B$3,NA(),IF($C$13&gt;= 0,$R$13,NA())))</f>
        <v>#REF!</v>
      </c>
      <c r="N13" s="46" t="e">
        <f>IF(COUNTIF(#REF!, "= 0")+ COUNTBLANK(#REF!) = 1,NA(),IF($B$3,NA(),IF($C$13&lt;= 0,$Q$13,NA())))</f>
        <v>#REF!</v>
      </c>
      <c r="O13" s="46" t="e">
        <f>$C$13</f>
        <v>#REF!</v>
      </c>
      <c r="P13" s="46" t="e">
        <f>$C$13</f>
        <v>#REF!</v>
      </c>
      <c r="Q13" s="46">
        <f>SUMIF($Z$13:$Z$13,"&lt;0")</f>
        <v>0</v>
      </c>
      <c r="R13" s="46">
        <f>SUMIF($Z$13:$Z$13,"&gt;0")</f>
        <v>0</v>
      </c>
      <c r="S13" s="46"/>
      <c r="T13" s="46"/>
      <c r="U13" s="46"/>
      <c r="V13" s="46"/>
      <c r="W13" s="46"/>
      <c r="X13" s="46"/>
      <c r="Y13" s="46" t="e">
        <f>$D$6</f>
        <v>#REF!</v>
      </c>
      <c r="Z13" s="46" t="e">
        <f>#REF!</f>
        <v>#REF!</v>
      </c>
      <c r="AA13" s="46">
        <v>0</v>
      </c>
      <c r="AB13" s="46">
        <v>0</v>
      </c>
      <c r="AC13" s="46"/>
      <c r="AD13" s="46"/>
      <c r="AE13" s="46">
        <f>IF($B$3,,IF($Z$13 &lt; 0,$Z$13,))</f>
        <v>0</v>
      </c>
      <c r="AF13" s="46">
        <f>IF($B$3,,IF($Z$13 &gt; 0,$Z$13,))</f>
        <v>0</v>
      </c>
      <c r="AG13" s="46"/>
      <c r="AH13" s="46" t="e">
        <f>IF($B$3,NA(),IF($Z$13 = 0,NA(),IF($Z$13 &gt; 0,$AB$13 + $Z$13/2,-$AA$13 + $Z$13/2)))</f>
        <v>#N/A</v>
      </c>
    </row>
    <row r="14" spans="1:3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 t="e">
        <f>IF(IF($B$4,$C$7 = 0,COUNTIF(#REF!, "= 0")+ COUNTBLANK(#REF!) = 1),$Y$13,NA())</f>
        <v>#REF!</v>
      </c>
      <c r="Z14" s="46"/>
      <c r="AA14" s="46"/>
      <c r="AB14" s="46"/>
      <c r="AC14" s="46"/>
      <c r="AD14" s="46"/>
      <c r="AE14" s="46"/>
      <c r="AF14" s="46"/>
      <c r="AG14" s="46"/>
      <c r="AH14" s="46"/>
    </row>
    <row r="15" spans="1:34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 t="e">
        <f>$D$7</f>
        <v>#REF!</v>
      </c>
      <c r="Z15" s="46"/>
      <c r="AA15" s="46"/>
      <c r="AB15" s="46"/>
      <c r="AC15" s="46"/>
      <c r="AD15" s="46"/>
      <c r="AE15" s="46"/>
      <c r="AF15" s="46"/>
      <c r="AG15" s="46"/>
      <c r="AH15" s="46"/>
    </row>
    <row r="16" spans="1:34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 t="e">
        <f>$D$7</f>
        <v>#REF!</v>
      </c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4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 t="e">
        <f>IF(IF($B$4,$C$8 = 0,COUNTIF(#REF!, "= 0")+ COUNTBLANK(#REF!) = 1),$Y$16,NA())</f>
        <v>#REF!</v>
      </c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 t="e">
        <f>$D$8</f>
        <v>#REF!</v>
      </c>
      <c r="Z18" s="46"/>
      <c r="AA18" s="46"/>
      <c r="AB18" s="46"/>
      <c r="AC18" s="46"/>
      <c r="AD18" s="46"/>
      <c r="AE18" s="46"/>
      <c r="AF18" s="46"/>
      <c r="AG18" s="46"/>
      <c r="AH18" s="46"/>
    </row>
    <row r="19" spans="1:34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 t="e">
        <f>$D$8</f>
        <v>#REF!</v>
      </c>
      <c r="Z19" s="46"/>
      <c r="AA19" s="46"/>
      <c r="AB19" s="46"/>
      <c r="AC19" s="46"/>
      <c r="AD19" s="46"/>
      <c r="AE19" s="46"/>
      <c r="AF19" s="46"/>
      <c r="AG19" s="46"/>
      <c r="AH19" s="46"/>
    </row>
    <row r="20" spans="1:34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 t="e">
        <f>IF(IF($B$4,$C$9 = 0,COUNTIF(#REF!, "= 0")+ COUNTBLANK(#REF!) = 1),$Y$19,NA())</f>
        <v>#REF!</v>
      </c>
      <c r="Z20" s="46"/>
      <c r="AA20" s="46"/>
      <c r="AB20" s="46"/>
      <c r="AC20" s="46"/>
      <c r="AD20" s="46"/>
      <c r="AE20" s="46"/>
      <c r="AF20" s="46"/>
      <c r="AG20" s="46"/>
      <c r="AH20" s="46"/>
    </row>
    <row r="21" spans="1:34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e">
        <f>$D$9</f>
        <v>#REF!</v>
      </c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 t="e">
        <f>$D$9</f>
        <v>#REF!</v>
      </c>
      <c r="Z22" s="46"/>
      <c r="AA22" s="46"/>
      <c r="AB22" s="46"/>
      <c r="AC22" s="46"/>
      <c r="AD22" s="46"/>
      <c r="AE22" s="46"/>
      <c r="AF22" s="46"/>
      <c r="AG22" s="46"/>
      <c r="AH22" s="46"/>
    </row>
    <row r="23" spans="1:34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e">
        <f>IF(IF($B$4,$C$10 = 0,COUNTIF(#REF!, "= 0")+ COUNTBLANK(#REF!) = 1),$Y$22,NA())</f>
        <v>#REF!</v>
      </c>
      <c r="Z23" s="46"/>
      <c r="AA23" s="46"/>
      <c r="AB23" s="46"/>
      <c r="AC23" s="46"/>
      <c r="AD23" s="46"/>
      <c r="AE23" s="46"/>
      <c r="AF23" s="46"/>
      <c r="AG23" s="46"/>
      <c r="AH23" s="46"/>
    </row>
    <row r="24" spans="1:3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 t="e">
        <f>$D$10</f>
        <v>#REF!</v>
      </c>
      <c r="Z24" s="46"/>
      <c r="AA24" s="46"/>
      <c r="AB24" s="46"/>
      <c r="AC24" s="46"/>
      <c r="AD24" s="46"/>
      <c r="AE24" s="46"/>
      <c r="AF24" s="46"/>
      <c r="AG24" s="46"/>
      <c r="AH24" s="46"/>
    </row>
    <row r="25" spans="1:34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e">
        <f>$D$10</f>
        <v>#REF!</v>
      </c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 t="e">
        <f>IF(IF($B$4,$C$11 = 0,COUNTIF(#REF!, "= 0")+ COUNTBLANK(#REF!) = 1),$Y$25,NA())</f>
        <v>#REF!</v>
      </c>
      <c r="Z26" s="46"/>
      <c r="AA26" s="46"/>
      <c r="AB26" s="46"/>
      <c r="AC26" s="46"/>
      <c r="AD26" s="46"/>
      <c r="AE26" s="46"/>
      <c r="AF26" s="46"/>
      <c r="AG26" s="46"/>
      <c r="AH26" s="46"/>
    </row>
    <row r="27" spans="1:34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e">
        <f>$D$11</f>
        <v>#REF!</v>
      </c>
      <c r="Z27" s="46"/>
      <c r="AA27" s="46"/>
      <c r="AB27" s="46"/>
      <c r="AC27" s="46"/>
      <c r="AD27" s="46"/>
      <c r="AE27" s="46"/>
      <c r="AF27" s="46"/>
      <c r="AG27" s="46"/>
      <c r="AH27" s="46"/>
    </row>
    <row r="28" spans="1:34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 t="e">
        <f>$D$11</f>
        <v>#REF!</v>
      </c>
      <c r="Z28" s="46"/>
      <c r="AA28" s="46"/>
      <c r="AB28" s="46"/>
      <c r="AC28" s="46"/>
      <c r="AD28" s="46"/>
      <c r="AE28" s="46"/>
      <c r="AF28" s="46"/>
      <c r="AG28" s="46"/>
      <c r="AH28" s="46"/>
    </row>
    <row r="29" spans="1:3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e">
        <f>IF(IF($B$4,$C$12 = 0,COUNTIF(#REF!, "= 0")+ COUNTBLANK(#REF!) = 1),$Y$28,NA())</f>
        <v>#REF!</v>
      </c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 t="e">
        <f>$D$12</f>
        <v>#REF!</v>
      </c>
      <c r="Z30" s="46"/>
      <c r="AA30" s="46"/>
      <c r="AB30" s="46"/>
      <c r="AC30" s="46"/>
      <c r="AD30" s="46"/>
      <c r="AE30" s="46"/>
      <c r="AF30" s="46"/>
      <c r="AG30" s="46"/>
      <c r="AH30" s="46"/>
    </row>
    <row r="31" spans="1:34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e">
        <f>$D$12</f>
        <v>#REF!</v>
      </c>
      <c r="Z31" s="46"/>
      <c r="AA31" s="46"/>
      <c r="AB31" s="46"/>
      <c r="AC31" s="46"/>
      <c r="AD31" s="46"/>
      <c r="AE31" s="46"/>
      <c r="AF31" s="46"/>
      <c r="AG31" s="46"/>
      <c r="AH31" s="46"/>
    </row>
    <row r="32" spans="1:34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 t="e">
        <f>IF(IF($B$4,$C$13 = 0,COUNTIF(#REF!, "= 0")+ COUNTBLANK(#REF!) = 1),$Y$31,NA())</f>
        <v>#REF!</v>
      </c>
      <c r="Z32" s="46"/>
      <c r="AA32" s="46"/>
      <c r="AB32" s="46"/>
      <c r="AC32" s="46"/>
      <c r="AD32" s="46"/>
      <c r="AE32" s="46"/>
      <c r="AF32" s="46"/>
      <c r="AG32" s="46"/>
      <c r="AH32" s="46"/>
    </row>
    <row r="34" spans="1:34">
      <c r="A34" s="46" t="s">
        <v>93</v>
      </c>
      <c r="B34" s="46" t="s">
        <v>94</v>
      </c>
      <c r="C34" s="46" t="s">
        <v>95</v>
      </c>
      <c r="D34" s="46" t="s">
        <v>96</v>
      </c>
      <c r="E34" s="46" t="s">
        <v>97</v>
      </c>
      <c r="F34" s="46" t="s">
        <v>98</v>
      </c>
      <c r="G34" s="46" t="s">
        <v>99</v>
      </c>
      <c r="H34" s="46" t="s">
        <v>100</v>
      </c>
      <c r="I34" s="46" t="s">
        <v>101</v>
      </c>
      <c r="J34" s="46" t="s">
        <v>102</v>
      </c>
      <c r="K34" s="46" t="s">
        <v>103</v>
      </c>
      <c r="L34" s="46" t="s">
        <v>104</v>
      </c>
      <c r="M34" s="46" t="s">
        <v>105</v>
      </c>
      <c r="N34" s="46" t="s">
        <v>106</v>
      </c>
      <c r="O34" s="46" t="s">
        <v>107</v>
      </c>
      <c r="P34" s="46" t="s">
        <v>108</v>
      </c>
      <c r="Q34" s="46" t="s">
        <v>109</v>
      </c>
      <c r="R34" s="46" t="s">
        <v>110</v>
      </c>
      <c r="S34" s="46" t="s">
        <v>111</v>
      </c>
      <c r="T34" s="46" t="s">
        <v>112</v>
      </c>
      <c r="U34" s="46" t="s">
        <v>113</v>
      </c>
      <c r="V34" s="46" t="s">
        <v>114</v>
      </c>
      <c r="W34" s="46" t="s">
        <v>115</v>
      </c>
      <c r="X34" s="46" t="s">
        <v>116</v>
      </c>
      <c r="Y34" s="46" t="s">
        <v>117</v>
      </c>
      <c r="Z34" s="46" t="s">
        <v>118</v>
      </c>
      <c r="AA34" s="46" t="s">
        <v>119</v>
      </c>
      <c r="AB34" s="46" t="s">
        <v>120</v>
      </c>
      <c r="AC34" s="46" t="s">
        <v>121</v>
      </c>
      <c r="AD34" s="46" t="s">
        <v>122</v>
      </c>
      <c r="AE34" s="46" t="s">
        <v>123</v>
      </c>
      <c r="AF34" s="46" t="s">
        <v>124</v>
      </c>
      <c r="AG34" s="46" t="s">
        <v>125</v>
      </c>
      <c r="AH34" s="46" t="s">
        <v>126</v>
      </c>
    </row>
    <row r="35" spans="1:34">
      <c r="A35" s="46">
        <v>2</v>
      </c>
      <c r="B35" s="46" t="b">
        <v>1</v>
      </c>
      <c r="C35" s="46" t="e">
        <f>#REF!</f>
        <v>#REF!</v>
      </c>
      <c r="D35" s="46" t="e">
        <f>$C$35</f>
        <v>#REF!</v>
      </c>
      <c r="E35" s="46"/>
      <c r="F35" s="46"/>
      <c r="G35" s="46"/>
      <c r="H35" s="46"/>
      <c r="I35" s="46"/>
      <c r="J35" s="46"/>
      <c r="K35" s="46" t="e">
        <f>IF(COUNTIF(#REF!, "= 0")+ COUNTBLANK(#REF!) = 1,NA(),IF($B$35,$D$35,NA()))</f>
        <v>#REF!</v>
      </c>
      <c r="L35" s="46" t="e">
        <f>$D$35</f>
        <v>#REF!</v>
      </c>
      <c r="M35" s="46" t="e">
        <f>IF(COUNTIF(#REF!, "= 0")+ COUNTBLANK(#REF!) = 1,NA(),IF($B$35,NA(),IF($C$35&gt;= 0,$R$35,NA())))</f>
        <v>#REF!</v>
      </c>
      <c r="N35" s="46" t="e">
        <f>IF(COUNTIF(#REF!, "= 0")+ COUNTBLANK(#REF!) = 1,NA(),IF($B$35,NA(),IF($C$35&lt;= 0,$Q$35,NA())))</f>
        <v>#REF!</v>
      </c>
      <c r="O35" s="46" t="e">
        <f>$C$35</f>
        <v>#REF!</v>
      </c>
      <c r="P35" s="46" t="e">
        <f>$C$35</f>
        <v>#REF!</v>
      </c>
      <c r="Q35" s="46">
        <f>SUMIF($Z$35:$Z$35,"&lt;0")</f>
        <v>0</v>
      </c>
      <c r="R35" s="46">
        <f>SUMIF($Z$35:$Z$35,"&gt;0")</f>
        <v>0</v>
      </c>
      <c r="S35" s="46"/>
      <c r="T35" s="46"/>
      <c r="U35" s="46"/>
      <c r="V35" s="46"/>
      <c r="W35" s="46"/>
      <c r="X35" s="46"/>
      <c r="Y35" s="46" t="e">
        <f>$D$35</f>
        <v>#REF!</v>
      </c>
      <c r="Z35" s="46" t="e">
        <f>#REF!</f>
        <v>#REF!</v>
      </c>
      <c r="AA35" s="46">
        <v>0</v>
      </c>
      <c r="AB35" s="46">
        <v>0</v>
      </c>
      <c r="AC35" s="46"/>
      <c r="AD35" s="46"/>
      <c r="AE35" s="46">
        <f>IF($B$35,,IF($Z$35 &lt; 0,$Z$35,))</f>
        <v>0</v>
      </c>
      <c r="AF35" s="46">
        <f>IF($B$35,,IF($Z$35 &gt; 0,$Z$35,))</f>
        <v>0</v>
      </c>
      <c r="AG35" s="46"/>
      <c r="AH35" s="46" t="e">
        <f>IF($B$35,NA(),IF($Z$35 = 0,NA(),IF($Z$35 &gt; 0,$AB$35 + $Z$35/2,-$AA$35 + $Z$35/2)))</f>
        <v>#N/A</v>
      </c>
    </row>
    <row r="36" spans="1:34">
      <c r="A36" s="46"/>
      <c r="B36" s="46" t="b">
        <v>1</v>
      </c>
      <c r="C36" s="46" t="e">
        <f>#REF!</f>
        <v>#REF!</v>
      </c>
      <c r="D36" s="46" t="e">
        <f>SUM($D$35,$C$36)</f>
        <v>#REF!</v>
      </c>
      <c r="E36" s="46" t="e">
        <f>$D$35&gt;=0</f>
        <v>#REF!</v>
      </c>
      <c r="F36" s="46" t="e">
        <f>IF($B$36,AND($D$35&lt;=0,SUM($D$35,$C$36)&gt; 0),AND($D$35&lt;=0,SUM($D$35,$R$36)&gt; 0))</f>
        <v>#REF!</v>
      </c>
      <c r="G36" s="46" t="e">
        <f>IF($B$36,AND($D$35&gt;=0,SUM($D$35,$C$36)&lt; 0),AND($D$35&gt;=0,SUM($D$35,$Q$36)&lt; 0))</f>
        <v>#REF!</v>
      </c>
      <c r="H36" s="46" t="e">
        <f>OR($G$36,$F$36)</f>
        <v>#REF!</v>
      </c>
      <c r="I36" s="46" t="e">
        <f>IF($H$36,IF($G$36,"atb","bta"),IF($E$36,"nca","ncb"))</f>
        <v>#REF!</v>
      </c>
      <c r="J36" s="46" t="e">
        <f>IF($H$36,0,IF($B$36,IF($E$36,IF($C$36&gt;=0,$D$35,$D$35+$C$36),IF($C$36&gt;=0,$D$35+$C$36,$D$35)),IF($E$36,SUM($D$35,$Q$36),SUM($D$35,$R$36))))</f>
        <v>#REF!</v>
      </c>
      <c r="K36" s="46"/>
      <c r="L36" s="46"/>
      <c r="M36" s="46" t="e">
        <f>IF(COUNTIF(#REF!, "= 0")+ COUNTBLANK(#REF!) = 1,NA(),IF($B$36,NA(),IF($C$36&gt;=0,SUM($D$35,$R$36),NA())))</f>
        <v>#REF!</v>
      </c>
      <c r="N36" s="46" t="e">
        <f>IF(COUNTIF(#REF!, "= 0")+ COUNTBLANK(#REF!) = 1,NA(),IF($B$36,NA(),IF($C$36&gt;=0,NA(),SUM($D$35,$Q$36))))</f>
        <v>#REF!</v>
      </c>
      <c r="O36" s="46" t="e">
        <f>$C$36</f>
        <v>#REF!</v>
      </c>
      <c r="P36" s="46" t="e">
        <f>$C$36</f>
        <v>#REF!</v>
      </c>
      <c r="Q36" s="46">
        <f>SUMIF($Z$36:$Z$36,"&lt;0")</f>
        <v>0</v>
      </c>
      <c r="R36" s="46">
        <f>SUMIF($Z$36:$Z$36,"&gt;0")</f>
        <v>0</v>
      </c>
      <c r="S36" s="46" t="e">
        <f>IF($B$36,IF($I$36="nca",IF($C$36&gt;=0,0,ABS($C$36)),IF($I$36="ncb",0,IF($I$36="atb",IF($C$36&gt;=0,0,IF($D$35&lt;0,0,IF(ABS($C$36)&gt;$D$35,$D$35,ABS($C$36)))),IF($I$36="bta",0,"err")))),)</f>
        <v>#REF!</v>
      </c>
      <c r="T36" s="46" t="e">
        <f>IF($B$36,IF($I$36="nca",IF($C$36&lt;0,0,ABS($C$36)),IF($I$36="ncb",0,IF($I$36="atb",IF($C$36&lt;=0,0,$C$36),IF($I$36="bta",IF($C$36&lt;=0,0,$V$36+$C$36),"err")))),)</f>
        <v>#REF!</v>
      </c>
      <c r="U36" s="46" t="e">
        <f>IF($B$36,IF($I$36="nca",0,IF($I$36="ncb",IF($C$36&lt;=0,-ABS($C$36),0),IF($I$36="atb",IF($C$36&lt;0,$C$36+$S$36,0),IF($I$36="bta",IF($C$36&lt;=0,$C$36,0),"err")))),)</f>
        <v>#REF!</v>
      </c>
      <c r="V36" s="46" t="e">
        <f>IF($B$36,IF($I$36="nca",0,IF($I$36="ncb",IF($C$36&gt;=0,-ABS($C$36),0),IF($I$36="atb",0,IF($I$36="bta",IF($C$36&lt;=0,0,IF($D$35&gt;0,0,IF(ABS($C$36)&lt;ABS($D$35),-ABS($C$36),$D$35))),"err")))),)</f>
        <v>#REF!</v>
      </c>
      <c r="W36" s="46" t="e">
        <f>IF($C$36&gt;=0,IF($B$36,IF($C$36=0,NA(),$D$36),NA()),NA())</f>
        <v>#REF!</v>
      </c>
      <c r="X36" s="46" t="e">
        <f>IF($C$36&lt;0,IF($B$36,IF($C$36=0,NA(),$D$36),NA()),NA())</f>
        <v>#REF!</v>
      </c>
      <c r="Y36" s="46" t="e">
        <f>$D$35</f>
        <v>#REF!</v>
      </c>
      <c r="Z36" s="46" t="e">
        <f>#REF!</f>
        <v>#REF!</v>
      </c>
      <c r="AA36" s="46">
        <v>0</v>
      </c>
      <c r="AB36" s="46">
        <v>0</v>
      </c>
      <c r="AC36" s="46">
        <f>IF($B$36,,IF($I$36="nca",IF($Z$36&gt;=0,0,ABS($Z$36)),IF($I$36="ncb",0,IF($I$36="atb",IF($Z$36&gt;=0,0,IF($D$35-$AA$36&lt;0,0,IF(ABS($Z$36)&gt;$D$35-$AA$36,$D$35-$AA$36,ABS($Z$36)))),IF($I$36="bta",0,"err")))))</f>
        <v>0</v>
      </c>
      <c r="AD36" s="46">
        <f>IF($B$36,,IF($I$36="nca",0,IF($I$36="ncb",IF($Z$36&gt;=0,-ABS($Z$36),0),IF($I$36="atb",0,IF($I$36="bta",IF($Z$36&lt;=0,0,IF($D$35+$AB$36&gt;0,0,IF(ABS($Z$36)&lt;ABS($D$35+$AB$36),-ABS($Z$36),$D$35+$AB$36))),"err")))))</f>
        <v>0</v>
      </c>
      <c r="AE36" s="46">
        <f>IF($B$36,,IF($I$36="nca",0,IF($I$36="ncb",IF($Z$36&lt;=0,-ABS($Z$36),0),IF($I$36="atb",IF($Z$36&lt;0,$Z$36+$AC$36,0),IF($I$36="bta",IF($Z$36&lt;=0,$Z$36,0),"err")))))</f>
        <v>0</v>
      </c>
      <c r="AF36" s="46">
        <f>IF($B$36,,IF($I$36="nca",IF($Z$36&lt;0,0,ABS($Z$36)),IF($I$36="ncb",0,IF($I$36="atb",IF($Z$36&lt;=0,0,$Z$36),IF($I$36="bta",IF($Z$36&lt;=0,0,$AD$36+$Z$36),"err")))))</f>
        <v>0</v>
      </c>
      <c r="AG36" s="46" t="b">
        <f>IF(SUM(COUNTIFS($AF$36,"&lt;&gt;0",$AF$36,"&lt;&gt;"),COUNTIFS($AC$36,"&lt;&gt;0",$AC$36,"&lt;&gt;"),COUNTIFS($AD$36,"&lt;&gt;0",$AD$36,"&lt;&gt;"),COUNTIFS($AE$36,"&lt;&gt;0",$AE$36,"&lt;&gt;"))=2,TRUE,FALSE)</f>
        <v>0</v>
      </c>
      <c r="AH36" s="46" t="e">
        <f>IF($B$36,NA(),IF($Z$36=0,NA(),IF($AG$36,SUM($AC$36,$AF$36,$AD$36,$AE$36)/2,IF(OR($AF$36&lt;&gt;0,$AD$36&lt;&gt;0),$D$35+$AB$36,$D$35-$AA$36)+$Z$36/2)))</f>
        <v>#N/A</v>
      </c>
    </row>
    <row r="37" spans="1:34">
      <c r="A37" s="46"/>
      <c r="B37" s="46"/>
      <c r="C37" s="46" t="e">
        <f>#REF!</f>
        <v>#REF!</v>
      </c>
      <c r="D37" s="46" t="e">
        <f>SUM($D$36,$C$37)</f>
        <v>#REF!</v>
      </c>
      <c r="E37" s="46" t="e">
        <f>$D$36&gt;=0</f>
        <v>#REF!</v>
      </c>
      <c r="F37" s="46" t="e">
        <f>IF($B$36,AND($D$36&lt;=0,SUM($D$36,$C$37)&gt; 0),AND($D$36&lt;=0,SUM($D$36,$R$37)&gt; 0))</f>
        <v>#REF!</v>
      </c>
      <c r="G37" s="46" t="e">
        <f>IF($B$36,AND($D$36&gt;=0,SUM($D$36,$C$37)&lt; 0),AND($D$36&gt;=0,SUM($D$36,$Q$37)&lt; 0))</f>
        <v>#REF!</v>
      </c>
      <c r="H37" s="46" t="e">
        <f>OR($G$37,$F$37)</f>
        <v>#REF!</v>
      </c>
      <c r="I37" s="46" t="e">
        <f>IF($H$37,IF($G$37,"atb","bta"),IF($E$37,"nca","ncb"))</f>
        <v>#REF!</v>
      </c>
      <c r="J37" s="46" t="e">
        <f>IF($H$37,0,IF($B$36,IF($E$37,IF($C$37&gt;=0,$D$36,$D$36+$C$37),IF($C$37&gt;=0,$D$36+$C$37,$D$36)),IF($E$37,SUM($D$36,$Q$37),SUM($D$36,$R$37))))</f>
        <v>#REF!</v>
      </c>
      <c r="K37" s="46"/>
      <c r="L37" s="46"/>
      <c r="M37" s="46" t="e">
        <f>IF(COUNTIF(#REF!, "= 0")+ COUNTBLANK(#REF!) = 1,NA(),IF($B$36,NA(),IF($C$37&gt;=0,SUM($D$36,$R$37),NA())))</f>
        <v>#REF!</v>
      </c>
      <c r="N37" s="46" t="e">
        <f>IF(COUNTIF(#REF!, "= 0")+ COUNTBLANK(#REF!) = 1,NA(),IF($B$36,NA(),IF($C$37&gt;=0,NA(),SUM($D$36,$Q$37))))</f>
        <v>#REF!</v>
      </c>
      <c r="O37" s="46" t="e">
        <f>$C$37</f>
        <v>#REF!</v>
      </c>
      <c r="P37" s="46" t="e">
        <f>$C$37</f>
        <v>#REF!</v>
      </c>
      <c r="Q37" s="46">
        <f>SUMIF($Z$37:$Z$37,"&lt;0")</f>
        <v>0</v>
      </c>
      <c r="R37" s="46">
        <f>SUMIF($Z$37:$Z$37,"&gt;0")</f>
        <v>0</v>
      </c>
      <c r="S37" s="46" t="e">
        <f>IF($B$36,IF($I$37="nca",IF($C$37&gt;=0,0,ABS($C$37)),IF($I$37="ncb",0,IF($I$37="atb",IF($C$37&gt;=0,0,IF($D$36&lt;0,0,IF(ABS($C$37)&gt;$D$36,$D$36,ABS($C$37)))),IF($I$37="bta",0,"err")))),)</f>
        <v>#REF!</v>
      </c>
      <c r="T37" s="46" t="e">
        <f>IF($B$36,IF($I$37="nca",IF($C$37&lt;0,0,ABS($C$37)),IF($I$37="ncb",0,IF($I$37="atb",IF($C$37&lt;=0,0,$C$37),IF($I$37="bta",IF($C$37&lt;=0,0,$V$37+$C$37),"err")))),)</f>
        <v>#REF!</v>
      </c>
      <c r="U37" s="46" t="e">
        <f>IF($B$36,IF($I$37="nca",0,IF($I$37="ncb",IF($C$37&lt;=0,-ABS($C$37),0),IF($I$37="atb",IF($C$37&lt;0,$C$37+$S$37,0),IF($I$37="bta",IF($C$37&lt;=0,$C$37,0),"err")))),)</f>
        <v>#REF!</v>
      </c>
      <c r="V37" s="46" t="e">
        <f>IF($B$36,IF($I$37="nca",0,IF($I$37="ncb",IF($C$37&gt;=0,-ABS($C$37),0),IF($I$37="atb",0,IF($I$37="bta",IF($C$37&lt;=0,0,IF($D$36&gt;0,0,IF(ABS($C$37)&lt;ABS($D$36),-ABS($C$37),$D$36))),"err")))),)</f>
        <v>#REF!</v>
      </c>
      <c r="W37" s="46" t="e">
        <f>IF($C$37&gt;=0,IF($B$36,IF($C$37=0,NA(),$D$37),NA()),NA())</f>
        <v>#REF!</v>
      </c>
      <c r="X37" s="46" t="e">
        <f>IF($C$37&lt;0,IF($B$36,IF($C$37=0,NA(),$D$37),NA()),NA())</f>
        <v>#REF!</v>
      </c>
      <c r="Y37" s="46" t="e">
        <f>IF(IF($B$36,$C$36 = 0,COUNTIF(#REF!, "= 0")+ COUNTBLANK(#REF!) = 1),$Y$36,NA())</f>
        <v>#REF!</v>
      </c>
      <c r="Z37" s="46" t="e">
        <f>#REF!</f>
        <v>#REF!</v>
      </c>
      <c r="AA37" s="46">
        <v>0</v>
      </c>
      <c r="AB37" s="46">
        <v>0</v>
      </c>
      <c r="AC37" s="46">
        <f>IF($B$36,,IF($I$37="nca",IF($Z$37&gt;=0,0,ABS($Z$37)),IF($I$37="ncb",0,IF($I$37="atb",IF($Z$37&gt;=0,0,IF($D$36-$AA$37&lt;0,0,IF(ABS($Z$37)&gt;$D$36-$AA$37,$D$36-$AA$37,ABS($Z$37)))),IF($I$37="bta",0,"err")))))</f>
        <v>0</v>
      </c>
      <c r="AD37" s="46">
        <f>IF($B$36,,IF($I$37="nca",0,IF($I$37="ncb",IF($Z$37&gt;=0,-ABS($Z$37),0),IF($I$37="atb",0,IF($I$37="bta",IF($Z$37&lt;=0,0,IF($D$36+$AB$37&gt;0,0,IF(ABS($Z$37)&lt;ABS($D$36+$AB$37),-ABS($Z$37),$D$36+$AB$37))),"err")))))</f>
        <v>0</v>
      </c>
      <c r="AE37" s="46">
        <f>IF($B$36,,IF($I$37="nca",0,IF($I$37="ncb",IF($Z$37&lt;=0,-ABS($Z$37),0),IF($I$37="atb",IF($Z$37&lt;0,$Z$37+$AC$37,0),IF($I$37="bta",IF($Z$37&lt;=0,$Z$37,0),"err")))))</f>
        <v>0</v>
      </c>
      <c r="AF37" s="46">
        <f>IF($B$36,,IF($I$37="nca",IF($Z$37&lt;0,0,ABS($Z$37)),IF($I$37="ncb",0,IF($I$37="atb",IF($Z$37&lt;=0,0,$Z$37),IF($I$37="bta",IF($Z$37&lt;=0,0,$AD$37+$Z$37),"err")))))</f>
        <v>0</v>
      </c>
      <c r="AG37" s="46" t="b">
        <f>IF(SUM(COUNTIFS($AF$37,"&lt;&gt;0",$AF$37,"&lt;&gt;"),COUNTIFS($AC$37,"&lt;&gt;0",$AC$37,"&lt;&gt;"),COUNTIFS($AD$37,"&lt;&gt;0",$AD$37,"&lt;&gt;"),COUNTIFS($AE$37,"&lt;&gt;0",$AE$37,"&lt;&gt;"))=2,TRUE,FALSE)</f>
        <v>0</v>
      </c>
      <c r="AH37" s="46" t="e">
        <f>IF($B$36,NA(),IF($Z$37=0,NA(),IF($AG$37,SUM($AC$37,$AF$37,$AD$37,$AE$37)/2,IF(OR($AF$37&lt;&gt;0,$AD$37&lt;&gt;0),$D$36+$AB$37,$D$36-$AA$37)+$Z$37/2)))</f>
        <v>#N/A</v>
      </c>
    </row>
    <row r="38" spans="1:34">
      <c r="A38" s="46"/>
      <c r="B38" s="46"/>
      <c r="C38" s="46" t="e">
        <f>#REF!</f>
        <v>#REF!</v>
      </c>
      <c r="D38" s="46" t="e">
        <f>SUM($D$37,$C$38)</f>
        <v>#REF!</v>
      </c>
      <c r="E38" s="46" t="e">
        <f>$D$37&gt;=0</f>
        <v>#REF!</v>
      </c>
      <c r="F38" s="46" t="e">
        <f>IF($B$36,AND($D$37&lt;=0,SUM($D$37,$C$38)&gt; 0),AND($D$37&lt;=0,SUM($D$37,$R$38)&gt; 0))</f>
        <v>#REF!</v>
      </c>
      <c r="G38" s="46" t="e">
        <f>IF($B$36,AND($D$37&gt;=0,SUM($D$37,$C$38)&lt; 0),AND($D$37&gt;=0,SUM($D$37,$Q$38)&lt; 0))</f>
        <v>#REF!</v>
      </c>
      <c r="H38" s="46" t="e">
        <f>OR($G$38,$F$38)</f>
        <v>#REF!</v>
      </c>
      <c r="I38" s="46" t="e">
        <f>IF($H$38,IF($G$38,"atb","bta"),IF($E$38,"nca","ncb"))</f>
        <v>#REF!</v>
      </c>
      <c r="J38" s="46" t="e">
        <f>IF($H$38,0,IF($B$36,IF($E$38,IF($C$38&gt;=0,$D$37,$D$37+$C$38),IF($C$38&gt;=0,$D$37+$C$38,$D$37)),IF($E$38,SUM($D$37,$Q$38),SUM($D$37,$R$38))))</f>
        <v>#REF!</v>
      </c>
      <c r="K38" s="46"/>
      <c r="L38" s="46"/>
      <c r="M38" s="46" t="e">
        <f>IF(COUNTIF(#REF!, "= 0")+ COUNTBLANK(#REF!) = 1,NA(),IF($B$36,NA(),IF($C$38&gt;=0,SUM($D$37,$R$38),NA())))</f>
        <v>#REF!</v>
      </c>
      <c r="N38" s="46" t="e">
        <f>IF(COUNTIF(#REF!, "= 0")+ COUNTBLANK(#REF!) = 1,NA(),IF($B$36,NA(),IF($C$38&gt;=0,NA(),SUM($D$37,$Q$38))))</f>
        <v>#REF!</v>
      </c>
      <c r="O38" s="46" t="e">
        <f>$C$38</f>
        <v>#REF!</v>
      </c>
      <c r="P38" s="46" t="e">
        <f>$C$38</f>
        <v>#REF!</v>
      </c>
      <c r="Q38" s="46">
        <f>SUMIF($Z$38:$Z$38,"&lt;0")</f>
        <v>0</v>
      </c>
      <c r="R38" s="46">
        <f>SUMIF($Z$38:$Z$38,"&gt;0")</f>
        <v>0</v>
      </c>
      <c r="S38" s="46" t="e">
        <f>IF($B$36,IF($I$38="nca",IF($C$38&gt;=0,0,ABS($C$38)),IF($I$38="ncb",0,IF($I$38="atb",IF($C$38&gt;=0,0,IF($D$37&lt;0,0,IF(ABS($C$38)&gt;$D$37,$D$37,ABS($C$38)))),IF($I$38="bta",0,"err")))),)</f>
        <v>#REF!</v>
      </c>
      <c r="T38" s="46" t="e">
        <f>IF($B$36,IF($I$38="nca",IF($C$38&lt;0,0,ABS($C$38)),IF($I$38="ncb",0,IF($I$38="atb",IF($C$38&lt;=0,0,$C$38),IF($I$38="bta",IF($C$38&lt;=0,0,$V$38+$C$38),"err")))),)</f>
        <v>#REF!</v>
      </c>
      <c r="U38" s="46" t="e">
        <f>IF($B$36,IF($I$38="nca",0,IF($I$38="ncb",IF($C$38&lt;=0,-ABS($C$38),0),IF($I$38="atb",IF($C$38&lt;0,$C$38+$S$38,0),IF($I$38="bta",IF($C$38&lt;=0,$C$38,0),"err")))),)</f>
        <v>#REF!</v>
      </c>
      <c r="V38" s="46" t="e">
        <f>IF($B$36,IF($I$38="nca",0,IF($I$38="ncb",IF($C$38&gt;=0,-ABS($C$38),0),IF($I$38="atb",0,IF($I$38="bta",IF($C$38&lt;=0,0,IF($D$37&gt;0,0,IF(ABS($C$38)&lt;ABS($D$37),-ABS($C$38),$D$37))),"err")))),)</f>
        <v>#REF!</v>
      </c>
      <c r="W38" s="46" t="e">
        <f>IF($C$38&gt;=0,IF($B$36,IF($C$38=0,NA(),$D$38),NA()),NA())</f>
        <v>#REF!</v>
      </c>
      <c r="X38" s="46" t="e">
        <f>IF($C$38&lt;0,IF($B$36,IF($C$38=0,NA(),$D$38),NA()),NA())</f>
        <v>#REF!</v>
      </c>
      <c r="Y38" s="46" t="e">
        <f>$D$36</f>
        <v>#REF!</v>
      </c>
      <c r="Z38" s="46" t="e">
        <f>#REF!</f>
        <v>#REF!</v>
      </c>
      <c r="AA38" s="46">
        <v>0</v>
      </c>
      <c r="AB38" s="46">
        <v>0</v>
      </c>
      <c r="AC38" s="46">
        <f>IF($B$36,,IF($I$38="nca",IF($Z$38&gt;=0,0,ABS($Z$38)),IF($I$38="ncb",0,IF($I$38="atb",IF($Z$38&gt;=0,0,IF($D$37-$AA$38&lt;0,0,IF(ABS($Z$38)&gt;$D$37-$AA$38,$D$37-$AA$38,ABS($Z$38)))),IF($I$38="bta",0,"err")))))</f>
        <v>0</v>
      </c>
      <c r="AD38" s="46">
        <f>IF($B$36,,IF($I$38="nca",0,IF($I$38="ncb",IF($Z$38&gt;=0,-ABS($Z$38),0),IF($I$38="atb",0,IF($I$38="bta",IF($Z$38&lt;=0,0,IF($D$37+$AB$38&gt;0,0,IF(ABS($Z$38)&lt;ABS($D$37+$AB$38),-ABS($Z$38),$D$37+$AB$38))),"err")))))</f>
        <v>0</v>
      </c>
      <c r="AE38" s="46">
        <f>IF($B$36,,IF($I$38="nca",0,IF($I$38="ncb",IF($Z$38&lt;=0,-ABS($Z$38),0),IF($I$38="atb",IF($Z$38&lt;0,$Z$38+$AC$38,0),IF($I$38="bta",IF($Z$38&lt;=0,$Z$38,0),"err")))))</f>
        <v>0</v>
      </c>
      <c r="AF38" s="46">
        <f>IF($B$36,,IF($I$38="nca",IF($Z$38&lt;0,0,ABS($Z$38)),IF($I$38="ncb",0,IF($I$38="atb",IF($Z$38&lt;=0,0,$Z$38),IF($I$38="bta",IF($Z$38&lt;=0,0,$AD$38+$Z$38),"err")))))</f>
        <v>0</v>
      </c>
      <c r="AG38" s="46" t="b">
        <f>IF(SUM(COUNTIFS($AF$38,"&lt;&gt;0",$AF$38,"&lt;&gt;"),COUNTIFS($AC$38,"&lt;&gt;0",$AC$38,"&lt;&gt;"),COUNTIFS($AD$38,"&lt;&gt;0",$AD$38,"&lt;&gt;"),COUNTIFS($AE$38,"&lt;&gt;0",$AE$38,"&lt;&gt;"))=2,TRUE,FALSE)</f>
        <v>0</v>
      </c>
      <c r="AH38" s="46" t="e">
        <f>IF($B$36,NA(),IF($Z$38=0,NA(),IF($AG$38,SUM($AC$38,$AF$38,$AD$38,$AE$38)/2,IF(OR($AF$38&lt;&gt;0,$AD$38&lt;&gt;0),$D$37+$AB$38,$D$37-$AA$38)+$Z$38/2)))</f>
        <v>#N/A</v>
      </c>
    </row>
    <row r="39" spans="1:34">
      <c r="A39" s="46"/>
      <c r="B39" s="46"/>
      <c r="C39" s="46" t="e">
        <f>#REF!</f>
        <v>#REF!</v>
      </c>
      <c r="D39" s="46" t="e">
        <f>SUM($D$38,$C$39)</f>
        <v>#REF!</v>
      </c>
      <c r="E39" s="46" t="e">
        <f>$D$38&gt;=0</f>
        <v>#REF!</v>
      </c>
      <c r="F39" s="46" t="e">
        <f>IF($B$36,AND($D$38&lt;=0,SUM($D$38,$C$39)&gt; 0),AND($D$38&lt;=0,SUM($D$38,$R$39)&gt; 0))</f>
        <v>#REF!</v>
      </c>
      <c r="G39" s="46" t="e">
        <f>IF($B$36,AND($D$38&gt;=0,SUM($D$38,$C$39)&lt; 0),AND($D$38&gt;=0,SUM($D$38,$Q$39)&lt; 0))</f>
        <v>#REF!</v>
      </c>
      <c r="H39" s="46" t="e">
        <f>OR($G$39,$F$39)</f>
        <v>#REF!</v>
      </c>
      <c r="I39" s="46" t="e">
        <f>IF($H$39,IF($G$39,"atb","bta"),IF($E$39,"nca","ncb"))</f>
        <v>#REF!</v>
      </c>
      <c r="J39" s="46" t="e">
        <f>IF($H$39,0,IF($B$36,IF($E$39,IF($C$39&gt;=0,$D$38,$D$38+$C$39),IF($C$39&gt;=0,$D$38+$C$39,$D$38)),IF($E$39,SUM($D$38,$Q$39),SUM($D$38,$R$39))))</f>
        <v>#REF!</v>
      </c>
      <c r="K39" s="46"/>
      <c r="L39" s="46"/>
      <c r="M39" s="46" t="e">
        <f>IF(COUNTIF(#REF!, "= 0")+ COUNTBLANK(#REF!) = 1,NA(),IF($B$36,NA(),IF($C$39&gt;=0,SUM($D$38,$R$39),NA())))</f>
        <v>#REF!</v>
      </c>
      <c r="N39" s="46" t="e">
        <f>IF(COUNTIF(#REF!, "= 0")+ COUNTBLANK(#REF!) = 1,NA(),IF($B$36,NA(),IF($C$39&gt;=0,NA(),SUM($D$38,$Q$39))))</f>
        <v>#REF!</v>
      </c>
      <c r="O39" s="46" t="e">
        <f>$C$39</f>
        <v>#REF!</v>
      </c>
      <c r="P39" s="46" t="e">
        <f>$C$39</f>
        <v>#REF!</v>
      </c>
      <c r="Q39" s="46">
        <f>SUMIF($Z$39:$Z$39,"&lt;0")</f>
        <v>0</v>
      </c>
      <c r="R39" s="46">
        <f>SUMIF($Z$39:$Z$39,"&gt;0")</f>
        <v>0</v>
      </c>
      <c r="S39" s="46" t="e">
        <f>IF($B$36,IF($I$39="nca",IF($C$39&gt;=0,0,ABS($C$39)),IF($I$39="ncb",0,IF($I$39="atb",IF($C$39&gt;=0,0,IF($D$38&lt;0,0,IF(ABS($C$39)&gt;$D$38,$D$38,ABS($C$39)))),IF($I$39="bta",0,"err")))),)</f>
        <v>#REF!</v>
      </c>
      <c r="T39" s="46" t="e">
        <f>IF($B$36,IF($I$39="nca",IF($C$39&lt;0,0,ABS($C$39)),IF($I$39="ncb",0,IF($I$39="atb",IF($C$39&lt;=0,0,$C$39),IF($I$39="bta",IF($C$39&lt;=0,0,$V$39+$C$39),"err")))),)</f>
        <v>#REF!</v>
      </c>
      <c r="U39" s="46" t="e">
        <f>IF($B$36,IF($I$39="nca",0,IF($I$39="ncb",IF($C$39&lt;=0,-ABS($C$39),0),IF($I$39="atb",IF($C$39&lt;0,$C$39+$S$39,0),IF($I$39="bta",IF($C$39&lt;=0,$C$39,0),"err")))),)</f>
        <v>#REF!</v>
      </c>
      <c r="V39" s="46" t="e">
        <f>IF($B$36,IF($I$39="nca",0,IF($I$39="ncb",IF($C$39&gt;=0,-ABS($C$39),0),IF($I$39="atb",0,IF($I$39="bta",IF($C$39&lt;=0,0,IF($D$38&gt;0,0,IF(ABS($C$39)&lt;ABS($D$38),-ABS($C$39),$D$38))),"err")))),)</f>
        <v>#REF!</v>
      </c>
      <c r="W39" s="46" t="e">
        <f>IF($C$39&gt;=0,IF($B$36,IF($C$39=0,NA(),$D$39),NA()),NA())</f>
        <v>#REF!</v>
      </c>
      <c r="X39" s="46" t="e">
        <f>IF($C$39&lt;0,IF($B$36,IF($C$39=0,NA(),$D$39),NA()),NA())</f>
        <v>#REF!</v>
      </c>
      <c r="Y39" s="46" t="e">
        <f>$D$36</f>
        <v>#REF!</v>
      </c>
      <c r="Z39" s="46" t="e">
        <f>#REF!</f>
        <v>#REF!</v>
      </c>
      <c r="AA39" s="46">
        <v>0</v>
      </c>
      <c r="AB39" s="46">
        <v>0</v>
      </c>
      <c r="AC39" s="46">
        <f>IF($B$36,,IF($I$39="nca",IF($Z$39&gt;=0,0,ABS($Z$39)),IF($I$39="ncb",0,IF($I$39="atb",IF($Z$39&gt;=0,0,IF($D$38-$AA$39&lt;0,0,IF(ABS($Z$39)&gt;$D$38-$AA$39,$D$38-$AA$39,ABS($Z$39)))),IF($I$39="bta",0,"err")))))</f>
        <v>0</v>
      </c>
      <c r="AD39" s="46">
        <f>IF($B$36,,IF($I$39="nca",0,IF($I$39="ncb",IF($Z$39&gt;=0,-ABS($Z$39),0),IF($I$39="atb",0,IF($I$39="bta",IF($Z$39&lt;=0,0,IF($D$38+$AB$39&gt;0,0,IF(ABS($Z$39)&lt;ABS($D$38+$AB$39),-ABS($Z$39),$D$38+$AB$39))),"err")))))</f>
        <v>0</v>
      </c>
      <c r="AE39" s="46">
        <f>IF($B$36,,IF($I$39="nca",0,IF($I$39="ncb",IF($Z$39&lt;=0,-ABS($Z$39),0),IF($I$39="atb",IF($Z$39&lt;0,$Z$39+$AC$39,0),IF($I$39="bta",IF($Z$39&lt;=0,$Z$39,0),"err")))))</f>
        <v>0</v>
      </c>
      <c r="AF39" s="46">
        <f>IF($B$36,,IF($I$39="nca",IF($Z$39&lt;0,0,ABS($Z$39)),IF($I$39="ncb",0,IF($I$39="atb",IF($Z$39&lt;=0,0,$Z$39),IF($I$39="bta",IF($Z$39&lt;=0,0,$AD$39+$Z$39),"err")))))</f>
        <v>0</v>
      </c>
      <c r="AG39" s="46" t="b">
        <f>IF(SUM(COUNTIFS($AF$39,"&lt;&gt;0",$AF$39,"&lt;&gt;"),COUNTIFS($AC$39,"&lt;&gt;0",$AC$39,"&lt;&gt;"),COUNTIFS($AD$39,"&lt;&gt;0",$AD$39,"&lt;&gt;"),COUNTIFS($AE$39,"&lt;&gt;0",$AE$39,"&lt;&gt;"))=2,TRUE,FALSE)</f>
        <v>0</v>
      </c>
      <c r="AH39" s="46" t="e">
        <f>IF($B$36,NA(),IF($Z$39=0,NA(),IF($AG$39,SUM($AC$39,$AF$39,$AD$39,$AE$39)/2,IF(OR($AF$39&lt;&gt;0,$AD$39&lt;&gt;0),$D$38+$AB$39,$D$38-$AA$39)+$Z$39/2)))</f>
        <v>#N/A</v>
      </c>
    </row>
    <row r="40" spans="1:34">
      <c r="A40" s="46"/>
      <c r="B40" s="46"/>
      <c r="C40" s="46" t="e">
        <f>#REF!</f>
        <v>#REF!</v>
      </c>
      <c r="D40" s="46" t="e">
        <f>SUM($D$39,$C$40)</f>
        <v>#REF!</v>
      </c>
      <c r="E40" s="46" t="e">
        <f>$D$39&gt;=0</f>
        <v>#REF!</v>
      </c>
      <c r="F40" s="46" t="e">
        <f>IF($B$36,AND($D$39&lt;=0,SUM($D$39,$C$40)&gt; 0),AND($D$39&lt;=0,SUM($D$39,$R$40)&gt; 0))</f>
        <v>#REF!</v>
      </c>
      <c r="G40" s="46" t="e">
        <f>IF($B$36,AND($D$39&gt;=0,SUM($D$39,$C$40)&lt; 0),AND($D$39&gt;=0,SUM($D$39,$Q$40)&lt; 0))</f>
        <v>#REF!</v>
      </c>
      <c r="H40" s="46" t="e">
        <f>OR($G$40,$F$40)</f>
        <v>#REF!</v>
      </c>
      <c r="I40" s="46" t="e">
        <f>IF($H$40,IF($G$40,"atb","bta"),IF($E$40,"nca","ncb"))</f>
        <v>#REF!</v>
      </c>
      <c r="J40" s="46" t="e">
        <f>IF($H$40,0,IF($B$36,IF($E$40,IF($C$40&gt;=0,$D$39,$D$39+$C$40),IF($C$40&gt;=0,$D$39+$C$40,$D$39)),IF($E$40,SUM($D$39,$Q$40),SUM($D$39,$R$40))))</f>
        <v>#REF!</v>
      </c>
      <c r="K40" s="46"/>
      <c r="L40" s="46"/>
      <c r="M40" s="46" t="e">
        <f>IF(COUNTIF(#REF!, "= 0")+ COUNTBLANK(#REF!) = 1,NA(),IF($B$36,NA(),IF($C$40&gt;=0,SUM($D$39,$R$40),NA())))</f>
        <v>#REF!</v>
      </c>
      <c r="N40" s="46" t="e">
        <f>IF(COUNTIF(#REF!, "= 0")+ COUNTBLANK(#REF!) = 1,NA(),IF($B$36,NA(),IF($C$40&gt;=0,NA(),SUM($D$39,$Q$40))))</f>
        <v>#REF!</v>
      </c>
      <c r="O40" s="46" t="e">
        <f>$C$40</f>
        <v>#REF!</v>
      </c>
      <c r="P40" s="46" t="e">
        <f>$C$40</f>
        <v>#REF!</v>
      </c>
      <c r="Q40" s="46">
        <f>SUMIF($Z$40:$Z$40,"&lt;0")</f>
        <v>0</v>
      </c>
      <c r="R40" s="46">
        <f>SUMIF($Z$40:$Z$40,"&gt;0")</f>
        <v>0</v>
      </c>
      <c r="S40" s="46" t="e">
        <f>IF($B$36,IF($I$40="nca",IF($C$40&gt;=0,0,ABS($C$40)),IF($I$40="ncb",0,IF($I$40="atb",IF($C$40&gt;=0,0,IF($D$39&lt;0,0,IF(ABS($C$40)&gt;$D$39,$D$39,ABS($C$40)))),IF($I$40="bta",0,"err")))),)</f>
        <v>#REF!</v>
      </c>
      <c r="T40" s="46" t="e">
        <f>IF($B$36,IF($I$40="nca",IF($C$40&lt;0,0,ABS($C$40)),IF($I$40="ncb",0,IF($I$40="atb",IF($C$40&lt;=0,0,$C$40),IF($I$40="bta",IF($C$40&lt;=0,0,$V$40+$C$40),"err")))),)</f>
        <v>#REF!</v>
      </c>
      <c r="U40" s="46" t="e">
        <f>IF($B$36,IF($I$40="nca",0,IF($I$40="ncb",IF($C$40&lt;=0,-ABS($C$40),0),IF($I$40="atb",IF($C$40&lt;0,$C$40+$S$40,0),IF($I$40="bta",IF($C$40&lt;=0,$C$40,0),"err")))),)</f>
        <v>#REF!</v>
      </c>
      <c r="V40" s="46" t="e">
        <f>IF($B$36,IF($I$40="nca",0,IF($I$40="ncb",IF($C$40&gt;=0,-ABS($C$40),0),IF($I$40="atb",0,IF($I$40="bta",IF($C$40&lt;=0,0,IF($D$39&gt;0,0,IF(ABS($C$40)&lt;ABS($D$39),-ABS($C$40),$D$39))),"err")))),)</f>
        <v>#REF!</v>
      </c>
      <c r="W40" s="46" t="e">
        <f>IF($C$40&gt;=0,IF($B$36,IF($C$40=0,NA(),$D$40),NA()),NA())</f>
        <v>#REF!</v>
      </c>
      <c r="X40" s="46" t="e">
        <f>IF($C$40&lt;0,IF($B$36,IF($C$40=0,NA(),$D$40),NA()),NA())</f>
        <v>#REF!</v>
      </c>
      <c r="Y40" s="46" t="e">
        <f>IF(IF($B$36,$C$37 = 0,COUNTIF(#REF!, "= 0")+ COUNTBLANK(#REF!) = 1),$Y$39,NA())</f>
        <v>#REF!</v>
      </c>
      <c r="Z40" s="46" t="e">
        <f>#REF!</f>
        <v>#REF!</v>
      </c>
      <c r="AA40" s="46">
        <v>0</v>
      </c>
      <c r="AB40" s="46">
        <v>0</v>
      </c>
      <c r="AC40" s="46">
        <f>IF($B$36,,IF($I$40="nca",IF($Z$40&gt;=0,0,ABS($Z$40)),IF($I$40="ncb",0,IF($I$40="atb",IF($Z$40&gt;=0,0,IF($D$39-$AA$40&lt;0,0,IF(ABS($Z$40)&gt;$D$39-$AA$40,$D$39-$AA$40,ABS($Z$40)))),IF($I$40="bta",0,"err")))))</f>
        <v>0</v>
      </c>
      <c r="AD40" s="46">
        <f>IF($B$36,,IF($I$40="nca",0,IF($I$40="ncb",IF($Z$40&gt;=0,-ABS($Z$40),0),IF($I$40="atb",0,IF($I$40="bta",IF($Z$40&lt;=0,0,IF($D$39+$AB$40&gt;0,0,IF(ABS($Z$40)&lt;ABS($D$39+$AB$40),-ABS($Z$40),$D$39+$AB$40))),"err")))))</f>
        <v>0</v>
      </c>
      <c r="AE40" s="46">
        <f>IF($B$36,,IF($I$40="nca",0,IF($I$40="ncb",IF($Z$40&lt;=0,-ABS($Z$40),0),IF($I$40="atb",IF($Z$40&lt;0,$Z$40+$AC$40,0),IF($I$40="bta",IF($Z$40&lt;=0,$Z$40,0),"err")))))</f>
        <v>0</v>
      </c>
      <c r="AF40" s="46">
        <f>IF($B$36,,IF($I$40="nca",IF($Z$40&lt;0,0,ABS($Z$40)),IF($I$40="ncb",0,IF($I$40="atb",IF($Z$40&lt;=0,0,$Z$40),IF($I$40="bta",IF($Z$40&lt;=0,0,$AD$40+$Z$40),"err")))))</f>
        <v>0</v>
      </c>
      <c r="AG40" s="46" t="b">
        <f>IF(SUM(COUNTIFS($AF$40,"&lt;&gt;0",$AF$40,"&lt;&gt;"),COUNTIFS($AC$40,"&lt;&gt;0",$AC$40,"&lt;&gt;"),COUNTIFS($AD$40,"&lt;&gt;0",$AD$40,"&lt;&gt;"),COUNTIFS($AE$40,"&lt;&gt;0",$AE$40,"&lt;&gt;"))=2,TRUE,FALSE)</f>
        <v>0</v>
      </c>
      <c r="AH40" s="46" t="e">
        <f>IF($B$36,NA(),IF($Z$40=0,NA(),IF($AG$40,SUM($AC$40,$AF$40,$AD$40,$AE$40)/2,IF(OR($AF$40&lt;&gt;0,$AD$40&lt;&gt;0),$D$39+$AB$40,$D$39-$AA$40)+$Z$40/2)))</f>
        <v>#N/A</v>
      </c>
    </row>
    <row r="41" spans="1:34">
      <c r="A41" s="46"/>
      <c r="B41" s="46"/>
      <c r="C41" s="46" t="e">
        <f>#REF!</f>
        <v>#REF!</v>
      </c>
      <c r="D41" s="46" t="e">
        <f>SUM($D$40,$C$41)</f>
        <v>#REF!</v>
      </c>
      <c r="E41" s="46" t="e">
        <f>$D$40&gt;=0</f>
        <v>#REF!</v>
      </c>
      <c r="F41" s="46" t="e">
        <f>IF($B$36,AND($D$40&lt;=0,SUM($D$40,$C$41)&gt; 0),AND($D$40&lt;=0,SUM($D$40,$R$41)&gt; 0))</f>
        <v>#REF!</v>
      </c>
      <c r="G41" s="46" t="e">
        <f>IF($B$36,AND($D$40&gt;=0,SUM($D$40,$C$41)&lt; 0),AND($D$40&gt;=0,SUM($D$40,$Q$41)&lt; 0))</f>
        <v>#REF!</v>
      </c>
      <c r="H41" s="46" t="e">
        <f>OR($G$41,$F$41)</f>
        <v>#REF!</v>
      </c>
      <c r="I41" s="46" t="e">
        <f>IF($H$41,IF($G$41,"atb","bta"),IF($E$41,"nca","ncb"))</f>
        <v>#REF!</v>
      </c>
      <c r="J41" s="46" t="e">
        <f>IF($H$41,0,IF($B$36,IF($E$41,IF($C$41&gt;=0,$D$40,$D$40+$C$41),IF($C$41&gt;=0,$D$40+$C$41,$D$40)),IF($E$41,SUM($D$40,$Q$41),SUM($D$40,$R$41))))</f>
        <v>#REF!</v>
      </c>
      <c r="K41" s="46"/>
      <c r="L41" s="46"/>
      <c r="M41" s="46" t="e">
        <f>IF(COUNTIF(#REF!, "= 0")+ COUNTBLANK(#REF!) = 1,NA(),IF($B$36,NA(),IF($C$41&gt;=0,SUM($D$40,$R$41),NA())))</f>
        <v>#REF!</v>
      </c>
      <c r="N41" s="46" t="e">
        <f>IF(COUNTIF(#REF!, "= 0")+ COUNTBLANK(#REF!) = 1,NA(),IF($B$36,NA(),IF($C$41&gt;=0,NA(),SUM($D$40,$Q$41))))</f>
        <v>#REF!</v>
      </c>
      <c r="O41" s="46" t="e">
        <f>$C$41</f>
        <v>#REF!</v>
      </c>
      <c r="P41" s="46" t="e">
        <f>$C$41</f>
        <v>#REF!</v>
      </c>
      <c r="Q41" s="46">
        <f>SUMIF($Z$41:$Z$41,"&lt;0")</f>
        <v>0</v>
      </c>
      <c r="R41" s="46">
        <f>SUMIF($Z$41:$Z$41,"&gt;0")</f>
        <v>0</v>
      </c>
      <c r="S41" s="46" t="e">
        <f>IF($B$36,IF($I$41="nca",IF($C$41&gt;=0,0,ABS($C$41)),IF($I$41="ncb",0,IF($I$41="atb",IF($C$41&gt;=0,0,IF($D$40&lt;0,0,IF(ABS($C$41)&gt;$D$40,$D$40,ABS($C$41)))),IF($I$41="bta",0,"err")))),)</f>
        <v>#REF!</v>
      </c>
      <c r="T41" s="46" t="e">
        <f>IF($B$36,IF($I$41="nca",IF($C$41&lt;0,0,ABS($C$41)),IF($I$41="ncb",0,IF($I$41="atb",IF($C$41&lt;=0,0,$C$41),IF($I$41="bta",IF($C$41&lt;=0,0,$V$41+$C$41),"err")))),)</f>
        <v>#REF!</v>
      </c>
      <c r="U41" s="46" t="e">
        <f>IF($B$36,IF($I$41="nca",0,IF($I$41="ncb",IF($C$41&lt;=0,-ABS($C$41),0),IF($I$41="atb",IF($C$41&lt;0,$C$41+$S$41,0),IF($I$41="bta",IF($C$41&lt;=0,$C$41,0),"err")))),)</f>
        <v>#REF!</v>
      </c>
      <c r="V41" s="46" t="e">
        <f>IF($B$36,IF($I$41="nca",0,IF($I$41="ncb",IF($C$41&gt;=0,-ABS($C$41),0),IF($I$41="atb",0,IF($I$41="bta",IF($C$41&lt;=0,0,IF($D$40&gt;0,0,IF(ABS($C$41)&lt;ABS($D$40),-ABS($C$41),$D$40))),"err")))),)</f>
        <v>#REF!</v>
      </c>
      <c r="W41" s="46" t="e">
        <f>IF($C$41&gt;=0,IF($B$36,IF($C$41=0,NA(),$D$41),NA()),NA())</f>
        <v>#REF!</v>
      </c>
      <c r="X41" s="46" t="e">
        <f>IF($C$41&lt;0,IF($B$36,IF($C$41=0,NA(),$D$41),NA()),NA())</f>
        <v>#REF!</v>
      </c>
      <c r="Y41" s="46" t="e">
        <f>$D$37</f>
        <v>#REF!</v>
      </c>
      <c r="Z41" s="46" t="e">
        <f>#REF!</f>
        <v>#REF!</v>
      </c>
      <c r="AA41" s="46">
        <v>0</v>
      </c>
      <c r="AB41" s="46">
        <v>0</v>
      </c>
      <c r="AC41" s="46">
        <f>IF($B$36,,IF($I$41="nca",IF($Z$41&gt;=0,0,ABS($Z$41)),IF($I$41="ncb",0,IF($I$41="atb",IF($Z$41&gt;=0,0,IF($D$40-$AA$41&lt;0,0,IF(ABS($Z$41)&gt;$D$40-$AA$41,$D$40-$AA$41,ABS($Z$41)))),IF($I$41="bta",0,"err")))))</f>
        <v>0</v>
      </c>
      <c r="AD41" s="46">
        <f>IF($B$36,,IF($I$41="nca",0,IF($I$41="ncb",IF($Z$41&gt;=0,-ABS($Z$41),0),IF($I$41="atb",0,IF($I$41="bta",IF($Z$41&lt;=0,0,IF($D$40+$AB$41&gt;0,0,IF(ABS($Z$41)&lt;ABS($D$40+$AB$41),-ABS($Z$41),$D$40+$AB$41))),"err")))))</f>
        <v>0</v>
      </c>
      <c r="AE41" s="46">
        <f>IF($B$36,,IF($I$41="nca",0,IF($I$41="ncb",IF($Z$41&lt;=0,-ABS($Z$41),0),IF($I$41="atb",IF($Z$41&lt;0,$Z$41+$AC$41,0),IF($I$41="bta",IF($Z$41&lt;=0,$Z$41,0),"err")))))</f>
        <v>0</v>
      </c>
      <c r="AF41" s="46">
        <f>IF($B$36,,IF($I$41="nca",IF($Z$41&lt;0,0,ABS($Z$41)),IF($I$41="ncb",0,IF($I$41="atb",IF($Z$41&lt;=0,0,$Z$41),IF($I$41="bta",IF($Z$41&lt;=0,0,$AD$41+$Z$41),"err")))))</f>
        <v>0</v>
      </c>
      <c r="AG41" s="46" t="b">
        <f>IF(SUM(COUNTIFS($AF$41,"&lt;&gt;0",$AF$41,"&lt;&gt;"),COUNTIFS($AC$41,"&lt;&gt;0",$AC$41,"&lt;&gt;"),COUNTIFS($AD$41,"&lt;&gt;0",$AD$41,"&lt;&gt;"),COUNTIFS($AE$41,"&lt;&gt;0",$AE$41,"&lt;&gt;"))=2,TRUE,FALSE)</f>
        <v>0</v>
      </c>
      <c r="AH41" s="46" t="e">
        <f>IF($B$36,NA(),IF($Z$41=0,NA(),IF($AG$41,SUM($AC$41,$AF$41,$AD$41,$AE$41)/2,IF(OR($AF$41&lt;&gt;0,$AD$41&lt;&gt;0),$D$40+$AB$41,$D$40-$AA$41)+$Z$41/2)))</f>
        <v>#N/A</v>
      </c>
    </row>
    <row r="42" spans="1:34">
      <c r="A42" s="46"/>
      <c r="B42" s="46"/>
      <c r="C42" s="46" t="e">
        <f>#REF!</f>
        <v>#REF!</v>
      </c>
      <c r="D42" s="46" t="e">
        <f>SUM($D$41,$C$42)</f>
        <v>#REF!</v>
      </c>
      <c r="E42" s="46" t="e">
        <f>$D$41&gt;=0</f>
        <v>#REF!</v>
      </c>
      <c r="F42" s="46" t="e">
        <f>IF($B$36,AND($D$41&lt;=0,SUM($D$41,$C$42)&gt; 0),AND($D$41&lt;=0,SUM($D$41,$R$42)&gt; 0))</f>
        <v>#REF!</v>
      </c>
      <c r="G42" s="46" t="e">
        <f>IF($B$36,AND($D$41&gt;=0,SUM($D$41,$C$42)&lt; 0),AND($D$41&gt;=0,SUM($D$41,$Q$42)&lt; 0))</f>
        <v>#REF!</v>
      </c>
      <c r="H42" s="46" t="e">
        <f>OR($G$42,$F$42)</f>
        <v>#REF!</v>
      </c>
      <c r="I42" s="46" t="e">
        <f>IF($H$42,IF($G$42,"atb","bta"),IF($E$42,"nca","ncb"))</f>
        <v>#REF!</v>
      </c>
      <c r="J42" s="46" t="e">
        <f>IF($H$42,0,IF($B$36,IF($E$42,IF($C$42&gt;=0,$D$41,$D$41+$C$42),IF($C$42&gt;=0,$D$41+$C$42,$D$41)),IF($E$42,SUM($D$41,$Q$42),SUM($D$41,$R$42))))</f>
        <v>#REF!</v>
      </c>
      <c r="K42" s="46"/>
      <c r="L42" s="46"/>
      <c r="M42" s="46" t="e">
        <f>IF(COUNTIF(#REF!, "= 0")+ COUNTBLANK(#REF!) = 1,NA(),IF($B$36,NA(),IF($C$42&gt;=0,SUM($D$41,$R$42),NA())))</f>
        <v>#REF!</v>
      </c>
      <c r="N42" s="46" t="e">
        <f>IF(COUNTIF(#REF!, "= 0")+ COUNTBLANK(#REF!) = 1,NA(),IF($B$36,NA(),IF($C$42&gt;=0,NA(),SUM($D$41,$Q$42))))</f>
        <v>#REF!</v>
      </c>
      <c r="O42" s="46" t="e">
        <f>$C$42</f>
        <v>#REF!</v>
      </c>
      <c r="P42" s="46" t="e">
        <f>$C$42</f>
        <v>#REF!</v>
      </c>
      <c r="Q42" s="46">
        <f>SUMIF($Z$42:$Z$42,"&lt;0")</f>
        <v>0</v>
      </c>
      <c r="R42" s="46">
        <f>SUMIF($Z$42:$Z$42,"&gt;0")</f>
        <v>0</v>
      </c>
      <c r="S42" s="46" t="e">
        <f>IF($B$36,IF($I$42="nca",IF($C$42&gt;=0,0,ABS($C$42)),IF($I$42="ncb",0,IF($I$42="atb",IF($C$42&gt;=0,0,IF($D$41&lt;0,0,IF(ABS($C$42)&gt;$D$41,$D$41,ABS($C$42)))),IF($I$42="bta",0,"err")))),)</f>
        <v>#REF!</v>
      </c>
      <c r="T42" s="46" t="e">
        <f>IF($B$36,IF($I$42="nca",IF($C$42&lt;0,0,ABS($C$42)),IF($I$42="ncb",0,IF($I$42="atb",IF($C$42&lt;=0,0,$C$42),IF($I$42="bta",IF($C$42&lt;=0,0,$V$42+$C$42),"err")))),)</f>
        <v>#REF!</v>
      </c>
      <c r="U42" s="46" t="e">
        <f>IF($B$36,IF($I$42="nca",0,IF($I$42="ncb",IF($C$42&lt;=0,-ABS($C$42),0),IF($I$42="atb",IF($C$42&lt;0,$C$42+$S$42,0),IF($I$42="bta",IF($C$42&lt;=0,$C$42,0),"err")))),)</f>
        <v>#REF!</v>
      </c>
      <c r="V42" s="46" t="e">
        <f>IF($B$36,IF($I$42="nca",0,IF($I$42="ncb",IF($C$42&gt;=0,-ABS($C$42),0),IF($I$42="atb",0,IF($I$42="bta",IF($C$42&lt;=0,0,IF($D$41&gt;0,0,IF(ABS($C$42)&lt;ABS($D$41),-ABS($C$42),$D$41))),"err")))),)</f>
        <v>#REF!</v>
      </c>
      <c r="W42" s="46" t="e">
        <f>IF($C$42&gt;=0,IF($B$36,IF($C$42=0,NA(),$D$42),NA()),NA())</f>
        <v>#REF!</v>
      </c>
      <c r="X42" s="46" t="e">
        <f>IF($C$42&lt;0,IF($B$36,IF($C$42=0,NA(),$D$42),NA()),NA())</f>
        <v>#REF!</v>
      </c>
      <c r="Y42" s="46" t="e">
        <f>$D$37</f>
        <v>#REF!</v>
      </c>
      <c r="Z42" s="46" t="e">
        <f>#REF!</f>
        <v>#REF!</v>
      </c>
      <c r="AA42" s="46">
        <v>0</v>
      </c>
      <c r="AB42" s="46">
        <v>0</v>
      </c>
      <c r="AC42" s="46">
        <f>IF($B$36,,IF($I$42="nca",IF($Z$42&gt;=0,0,ABS($Z$42)),IF($I$42="ncb",0,IF($I$42="atb",IF($Z$42&gt;=0,0,IF($D$41-$AA$42&lt;0,0,IF(ABS($Z$42)&gt;$D$41-$AA$42,$D$41-$AA$42,ABS($Z$42)))),IF($I$42="bta",0,"err")))))</f>
        <v>0</v>
      </c>
      <c r="AD42" s="46">
        <f>IF($B$36,,IF($I$42="nca",0,IF($I$42="ncb",IF($Z$42&gt;=0,-ABS($Z$42),0),IF($I$42="atb",0,IF($I$42="bta",IF($Z$42&lt;=0,0,IF($D$41+$AB$42&gt;0,0,IF(ABS($Z$42)&lt;ABS($D$41+$AB$42),-ABS($Z$42),$D$41+$AB$42))),"err")))))</f>
        <v>0</v>
      </c>
      <c r="AE42" s="46">
        <f>IF($B$36,,IF($I$42="nca",0,IF($I$42="ncb",IF($Z$42&lt;=0,-ABS($Z$42),0),IF($I$42="atb",IF($Z$42&lt;0,$Z$42+$AC$42,0),IF($I$42="bta",IF($Z$42&lt;=0,$Z$42,0),"err")))))</f>
        <v>0</v>
      </c>
      <c r="AF42" s="46">
        <f>IF($B$36,,IF($I$42="nca",IF($Z$42&lt;0,0,ABS($Z$42)),IF($I$42="ncb",0,IF($I$42="atb",IF($Z$42&lt;=0,0,$Z$42),IF($I$42="bta",IF($Z$42&lt;=0,0,$AD$42+$Z$42),"err")))))</f>
        <v>0</v>
      </c>
      <c r="AG42" s="46" t="b">
        <f>IF(SUM(COUNTIFS($AF$42,"&lt;&gt;0",$AF$42,"&lt;&gt;"),COUNTIFS($AC$42,"&lt;&gt;0",$AC$42,"&lt;&gt;"),COUNTIFS($AD$42,"&lt;&gt;0",$AD$42,"&lt;&gt;"),COUNTIFS($AE$42,"&lt;&gt;0",$AE$42,"&lt;&gt;"))=2,TRUE,FALSE)</f>
        <v>0</v>
      </c>
      <c r="AH42" s="46" t="e">
        <f>IF($B$36,NA(),IF($Z$42=0,NA(),IF($AG$42,SUM($AC$42,$AF$42,$AD$42,$AE$42)/2,IF(OR($AF$42&lt;&gt;0,$AD$42&lt;&gt;0),$D$41+$AB$42,$D$41-$AA$42)+$Z$42/2)))</f>
        <v>#N/A</v>
      </c>
    </row>
    <row r="43" spans="1:34">
      <c r="A43" s="46"/>
      <c r="B43" s="46"/>
      <c r="C43" s="46" t="e">
        <f>#REF!</f>
        <v>#REF!</v>
      </c>
      <c r="D43" s="46" t="e">
        <f>$C$43</f>
        <v>#REF!</v>
      </c>
      <c r="E43" s="46"/>
      <c r="F43" s="46"/>
      <c r="G43" s="46"/>
      <c r="H43" s="46"/>
      <c r="I43" s="46"/>
      <c r="J43" s="46"/>
      <c r="K43" s="46" t="e">
        <f>IF(COUNTIF(#REF!, "= 0")+ COUNTBLANK(#REF!) = 1,NA(),IF($B$35,$D$43,NA()))</f>
        <v>#REF!</v>
      </c>
      <c r="L43" s="46" t="e">
        <f>$D$43</f>
        <v>#REF!</v>
      </c>
      <c r="M43" s="46" t="e">
        <f>IF(COUNTIF(#REF!, "= 0")+ COUNTBLANK(#REF!) = 1,NA(),IF($B$35,NA(),IF($C$43&gt;= 0,$R$43,NA())))</f>
        <v>#REF!</v>
      </c>
      <c r="N43" s="46" t="e">
        <f>IF(COUNTIF(#REF!, "= 0")+ COUNTBLANK(#REF!) = 1,NA(),IF($B$35,NA(),IF($C$43&lt;= 0,$Q$43,NA())))</f>
        <v>#REF!</v>
      </c>
      <c r="O43" s="46" t="e">
        <f>$C$43</f>
        <v>#REF!</v>
      </c>
      <c r="P43" s="46" t="e">
        <f>$C$43</f>
        <v>#REF!</v>
      </c>
      <c r="Q43" s="46">
        <f>SUMIF($Z$43:$Z$43,"&lt;0")</f>
        <v>0</v>
      </c>
      <c r="R43" s="46">
        <f>SUMIF($Z$43:$Z$43,"&gt;0")</f>
        <v>0</v>
      </c>
      <c r="S43" s="46"/>
      <c r="T43" s="46"/>
      <c r="U43" s="46"/>
      <c r="V43" s="46"/>
      <c r="W43" s="46"/>
      <c r="X43" s="46"/>
      <c r="Y43" s="46" t="e">
        <f>IF(IF($B$36,$C$38 = 0,COUNTIF(#REF!, "= 0")+ COUNTBLANK(#REF!) = 1),$Y$42,NA())</f>
        <v>#REF!</v>
      </c>
      <c r="Z43" s="46" t="e">
        <f>#REF!</f>
        <v>#REF!</v>
      </c>
      <c r="AA43" s="46">
        <v>0</v>
      </c>
      <c r="AB43" s="46">
        <v>0</v>
      </c>
      <c r="AC43" s="46"/>
      <c r="AD43" s="46"/>
      <c r="AE43" s="46">
        <f>IF($B$35,,IF($Z$43 &lt; 0,$Z$43,))</f>
        <v>0</v>
      </c>
      <c r="AF43" s="46">
        <f>IF($B$35,,IF($Z$43 &gt; 0,$Z$43,))</f>
        <v>0</v>
      </c>
      <c r="AG43" s="46"/>
      <c r="AH43" s="46" t="e">
        <f>IF($B$35,NA(),IF($Z$43 = 0,NA(),IF($Z$43 &gt; 0,$AB$43 + $Z$43/2,-$AA$43 + $Z$43/2)))</f>
        <v>#N/A</v>
      </c>
    </row>
    <row r="44" spans="1:34">
      <c r="A44" s="46"/>
      <c r="B44" s="46"/>
      <c r="C44" s="46" t="e">
        <f>#REF!</f>
        <v>#REF!</v>
      </c>
      <c r="D44" s="46" t="e">
        <f>SUM($D$43,$C$44)</f>
        <v>#REF!</v>
      </c>
      <c r="E44" s="46" t="e">
        <f>$D$43&gt;=0</f>
        <v>#REF!</v>
      </c>
      <c r="F44" s="46" t="e">
        <f>IF($B$36,AND($D$43&lt;=0,SUM($D$43,$C$44)&gt; 0),AND($D$43&lt;=0,SUM($D$43,$R$44)&gt; 0))</f>
        <v>#REF!</v>
      </c>
      <c r="G44" s="46" t="e">
        <f>IF($B$36,AND($D$43&gt;=0,SUM($D$43,$C$44)&lt; 0),AND($D$43&gt;=0,SUM($D$43,$Q$44)&lt; 0))</f>
        <v>#REF!</v>
      </c>
      <c r="H44" s="46" t="e">
        <f>OR($G$44,$F$44)</f>
        <v>#REF!</v>
      </c>
      <c r="I44" s="46" t="e">
        <f>IF($H$44,IF($G$44,"atb","bta"),IF($E$44,"nca","ncb"))</f>
        <v>#REF!</v>
      </c>
      <c r="J44" s="46" t="e">
        <f>IF($H$44,0,IF($B$36,IF($E$44,IF($C$44&gt;=0,$D$43,$D$43+$C$44),IF($C$44&gt;=0,$D$43+$C$44,$D$43)),IF($E$44,SUM($D$43,$Q$44),SUM($D$43,$R$44))))</f>
        <v>#REF!</v>
      </c>
      <c r="K44" s="46"/>
      <c r="L44" s="46"/>
      <c r="M44" s="46" t="e">
        <f>IF(COUNTIF(#REF!, "= 0")+ COUNTBLANK(#REF!) = 1,NA(),IF($B$36,NA(),IF($C$44&gt;=0,SUM($D$43,$R$44),NA())))</f>
        <v>#REF!</v>
      </c>
      <c r="N44" s="46" t="e">
        <f>IF(COUNTIF(#REF!, "= 0")+ COUNTBLANK(#REF!) = 1,NA(),IF($B$36,NA(),IF($C$44&gt;=0,NA(),SUM($D$43,$Q$44))))</f>
        <v>#REF!</v>
      </c>
      <c r="O44" s="46" t="e">
        <f>$C$44</f>
        <v>#REF!</v>
      </c>
      <c r="P44" s="46" t="e">
        <f>$C$44</f>
        <v>#REF!</v>
      </c>
      <c r="Q44" s="46">
        <f>SUMIF($Z$44:$Z$44,"&lt;0")</f>
        <v>0</v>
      </c>
      <c r="R44" s="46">
        <f>SUMIF($Z$44:$Z$44,"&gt;0")</f>
        <v>0</v>
      </c>
      <c r="S44" s="46" t="e">
        <f>IF($B$36,IF($I$44="nca",IF($C$44&gt;=0,0,ABS($C$44)),IF($I$44="ncb",0,IF($I$44="atb",IF($C$44&gt;=0,0,IF($D$43&lt;0,0,IF(ABS($C$44)&gt;$D$43,$D$43,ABS($C$44)))),IF($I$44="bta",0,"err")))),)</f>
        <v>#REF!</v>
      </c>
      <c r="T44" s="46" t="e">
        <f>IF($B$36,IF($I$44="nca",IF($C$44&lt;0,0,ABS($C$44)),IF($I$44="ncb",0,IF($I$44="atb",IF($C$44&lt;=0,0,$C$44),IF($I$44="bta",IF($C$44&lt;=0,0,$V$44+$C$44),"err")))),)</f>
        <v>#REF!</v>
      </c>
      <c r="U44" s="46" t="e">
        <f>IF($B$36,IF($I$44="nca",0,IF($I$44="ncb",IF($C$44&lt;=0,-ABS($C$44),0),IF($I$44="atb",IF($C$44&lt;0,$C$44+$S$44,0),IF($I$44="bta",IF($C$44&lt;=0,$C$44,0),"err")))),)</f>
        <v>#REF!</v>
      </c>
      <c r="V44" s="46" t="e">
        <f>IF($B$36,IF($I$44="nca",0,IF($I$44="ncb",IF($C$44&gt;=0,-ABS($C$44),0),IF($I$44="atb",0,IF($I$44="bta",IF($C$44&lt;=0,0,IF($D$43&gt;0,0,IF(ABS($C$44)&lt;ABS($D$43),-ABS($C$44),$D$43))),"err")))),)</f>
        <v>#REF!</v>
      </c>
      <c r="W44" s="46" t="e">
        <f>IF($C$44&gt;=0,IF($B$36,IF($C$44=0,NA(),$D$44),NA()),NA())</f>
        <v>#REF!</v>
      </c>
      <c r="X44" s="46" t="e">
        <f>IF($C$44&lt;0,IF($B$36,IF($C$44=0,NA(),$D$44),NA()),NA())</f>
        <v>#REF!</v>
      </c>
      <c r="Y44" s="46" t="e">
        <f>$D$38</f>
        <v>#REF!</v>
      </c>
      <c r="Z44" s="46" t="e">
        <f>#REF!</f>
        <v>#REF!</v>
      </c>
      <c r="AA44" s="46">
        <v>0</v>
      </c>
      <c r="AB44" s="46">
        <v>0</v>
      </c>
      <c r="AC44" s="46">
        <f>IF($B$36,,IF($I$44="nca",IF($Z$44&gt;=0,0,ABS($Z$44)),IF($I$44="ncb",0,IF($I$44="atb",IF($Z$44&gt;=0,0,IF($D$43-$AA$44&lt;0,0,IF(ABS($Z$44)&gt;$D$43-$AA$44,$D$43-$AA$44,ABS($Z$44)))),IF($I$44="bta",0,"err")))))</f>
        <v>0</v>
      </c>
      <c r="AD44" s="46">
        <f>IF($B$36,,IF($I$44="nca",0,IF($I$44="ncb",IF($Z$44&gt;=0,-ABS($Z$44),0),IF($I$44="atb",0,IF($I$44="bta",IF($Z$44&lt;=0,0,IF($D$43+$AB$44&gt;0,0,IF(ABS($Z$44)&lt;ABS($D$43+$AB$44),-ABS($Z$44),$D$43+$AB$44))),"err")))))</f>
        <v>0</v>
      </c>
      <c r="AE44" s="46">
        <f>IF($B$36,,IF($I$44="nca",0,IF($I$44="ncb",IF($Z$44&lt;=0,-ABS($Z$44),0),IF($I$44="atb",IF($Z$44&lt;0,$Z$44+$AC$44,0),IF($I$44="bta",IF($Z$44&lt;=0,$Z$44,0),"err")))))</f>
        <v>0</v>
      </c>
      <c r="AF44" s="46">
        <f>IF($B$36,,IF($I$44="nca",IF($Z$44&lt;0,0,ABS($Z$44)),IF($I$44="ncb",0,IF($I$44="atb",IF($Z$44&lt;=0,0,$Z$44),IF($I$44="bta",IF($Z$44&lt;=0,0,$AD$44+$Z$44),"err")))))</f>
        <v>0</v>
      </c>
      <c r="AG44" s="46" t="b">
        <f>IF(SUM(COUNTIFS($AF$44,"&lt;&gt;0",$AF$44,"&lt;&gt;"),COUNTIFS($AC$44,"&lt;&gt;0",$AC$44,"&lt;&gt;"),COUNTIFS($AD$44,"&lt;&gt;0",$AD$44,"&lt;&gt;"),COUNTIFS($AE$44,"&lt;&gt;0",$AE$44,"&lt;&gt;"))=2,TRUE,FALSE)</f>
        <v>0</v>
      </c>
      <c r="AH44" s="46" t="e">
        <f>IF($B$36,NA(),IF($Z$44=0,NA(),IF($AG$44,SUM($AC$44,$AF$44,$AD$44,$AE$44)/2,IF(OR($AF$44&lt;&gt;0,$AD$44&lt;&gt;0),$D$43+$AB$44,$D$43-$AA$44)+$Z$44/2)))</f>
        <v>#N/A</v>
      </c>
    </row>
    <row r="45" spans="1:34">
      <c r="A45" s="46"/>
      <c r="B45" s="46"/>
      <c r="C45" s="46" t="e">
        <f>#REF!</f>
        <v>#REF!</v>
      </c>
      <c r="D45" s="46" t="e">
        <f>SUM($D$44,$C$45)</f>
        <v>#REF!</v>
      </c>
      <c r="E45" s="46" t="e">
        <f>$D$44&gt;=0</f>
        <v>#REF!</v>
      </c>
      <c r="F45" s="46" t="e">
        <f>IF($B$36,AND($D$44&lt;=0,SUM($D$44,$C$45)&gt; 0),AND($D$44&lt;=0,SUM($D$44,$R$45)&gt; 0))</f>
        <v>#REF!</v>
      </c>
      <c r="G45" s="46" t="e">
        <f>IF($B$36,AND($D$44&gt;=0,SUM($D$44,$C$45)&lt; 0),AND($D$44&gt;=0,SUM($D$44,$Q$45)&lt; 0))</f>
        <v>#REF!</v>
      </c>
      <c r="H45" s="46" t="e">
        <f>OR($G$45,$F$45)</f>
        <v>#REF!</v>
      </c>
      <c r="I45" s="46" t="e">
        <f>IF($H$45,IF($G$45,"atb","bta"),IF($E$45,"nca","ncb"))</f>
        <v>#REF!</v>
      </c>
      <c r="J45" s="46" t="e">
        <f>IF($H$45,0,IF($B$36,IF($E$45,IF($C$45&gt;=0,$D$44,$D$44+$C$45),IF($C$45&gt;=0,$D$44+$C$45,$D$44)),IF($E$45,SUM($D$44,$Q$45),SUM($D$44,$R$45))))</f>
        <v>#REF!</v>
      </c>
      <c r="K45" s="46"/>
      <c r="L45" s="46"/>
      <c r="M45" s="46" t="e">
        <f>IF(COUNTIF(#REF!, "= 0")+ COUNTBLANK(#REF!) = 1,NA(),IF($B$36,NA(),IF($C$45&gt;=0,SUM($D$44,$R$45),NA())))</f>
        <v>#REF!</v>
      </c>
      <c r="N45" s="46" t="e">
        <f>IF(COUNTIF(#REF!, "= 0")+ COUNTBLANK(#REF!) = 1,NA(),IF($B$36,NA(),IF($C$45&gt;=0,NA(),SUM($D$44,$Q$45))))</f>
        <v>#REF!</v>
      </c>
      <c r="O45" s="46" t="e">
        <f>$C$45</f>
        <v>#REF!</v>
      </c>
      <c r="P45" s="46" t="e">
        <f>$C$45</f>
        <v>#REF!</v>
      </c>
      <c r="Q45" s="46">
        <f>SUMIF($Z$45:$Z$45,"&lt;0")</f>
        <v>0</v>
      </c>
      <c r="R45" s="46">
        <f>SUMIF($Z$45:$Z$45,"&gt;0")</f>
        <v>0</v>
      </c>
      <c r="S45" s="46" t="e">
        <f>IF($B$36,IF($I$45="nca",IF($C$45&gt;=0,0,ABS($C$45)),IF($I$45="ncb",0,IF($I$45="atb",IF($C$45&gt;=0,0,IF($D$44&lt;0,0,IF(ABS($C$45)&gt;$D$44,$D$44,ABS($C$45)))),IF($I$45="bta",0,"err")))),)</f>
        <v>#REF!</v>
      </c>
      <c r="T45" s="46" t="e">
        <f>IF($B$36,IF($I$45="nca",IF($C$45&lt;0,0,ABS($C$45)),IF($I$45="ncb",0,IF($I$45="atb",IF($C$45&lt;=0,0,$C$45),IF($I$45="bta",IF($C$45&lt;=0,0,$V$45+$C$45),"err")))),)</f>
        <v>#REF!</v>
      </c>
      <c r="U45" s="46" t="e">
        <f>IF($B$36,IF($I$45="nca",0,IF($I$45="ncb",IF($C$45&lt;=0,-ABS($C$45),0),IF($I$45="atb",IF($C$45&lt;0,$C$45+$S$45,0),IF($I$45="bta",IF($C$45&lt;=0,$C$45,0),"err")))),)</f>
        <v>#REF!</v>
      </c>
      <c r="V45" s="46" t="e">
        <f>IF($B$36,IF($I$45="nca",0,IF($I$45="ncb",IF($C$45&gt;=0,-ABS($C$45),0),IF($I$45="atb",0,IF($I$45="bta",IF($C$45&lt;=0,0,IF($D$44&gt;0,0,IF(ABS($C$45)&lt;ABS($D$44),-ABS($C$45),$D$44))),"err")))),)</f>
        <v>#REF!</v>
      </c>
      <c r="W45" s="46" t="e">
        <f>IF($C$45&gt;=0,IF($B$36,IF($C$45=0,NA(),$D$45),NA()),NA())</f>
        <v>#REF!</v>
      </c>
      <c r="X45" s="46" t="e">
        <f>IF($C$45&lt;0,IF($B$36,IF($C$45=0,NA(),$D$45),NA()),NA())</f>
        <v>#REF!</v>
      </c>
      <c r="Y45" s="46" t="e">
        <f>$D$38</f>
        <v>#REF!</v>
      </c>
      <c r="Z45" s="46" t="e">
        <f>#REF!</f>
        <v>#REF!</v>
      </c>
      <c r="AA45" s="46">
        <v>0</v>
      </c>
      <c r="AB45" s="46">
        <v>0</v>
      </c>
      <c r="AC45" s="46">
        <f>IF($B$36,,IF($I$45="nca",IF($Z$45&gt;=0,0,ABS($Z$45)),IF($I$45="ncb",0,IF($I$45="atb",IF($Z$45&gt;=0,0,IF($D$44-$AA$45&lt;0,0,IF(ABS($Z$45)&gt;$D$44-$AA$45,$D$44-$AA$45,ABS($Z$45)))),IF($I$45="bta",0,"err")))))</f>
        <v>0</v>
      </c>
      <c r="AD45" s="46">
        <f>IF($B$36,,IF($I$45="nca",0,IF($I$45="ncb",IF($Z$45&gt;=0,-ABS($Z$45),0),IF($I$45="atb",0,IF($I$45="bta",IF($Z$45&lt;=0,0,IF($D$44+$AB$45&gt;0,0,IF(ABS($Z$45)&lt;ABS($D$44+$AB$45),-ABS($Z$45),$D$44+$AB$45))),"err")))))</f>
        <v>0</v>
      </c>
      <c r="AE45" s="46">
        <f>IF($B$36,,IF($I$45="nca",0,IF($I$45="ncb",IF($Z$45&lt;=0,-ABS($Z$45),0),IF($I$45="atb",IF($Z$45&lt;0,$Z$45+$AC$45,0),IF($I$45="bta",IF($Z$45&lt;=0,$Z$45,0),"err")))))</f>
        <v>0</v>
      </c>
      <c r="AF45" s="46">
        <f>IF($B$36,,IF($I$45="nca",IF($Z$45&lt;0,0,ABS($Z$45)),IF($I$45="ncb",0,IF($I$45="atb",IF($Z$45&lt;=0,0,$Z$45),IF($I$45="bta",IF($Z$45&lt;=0,0,$AD$45+$Z$45),"err")))))</f>
        <v>0</v>
      </c>
      <c r="AG45" s="46" t="b">
        <f>IF(SUM(COUNTIFS($AF$45,"&lt;&gt;0",$AF$45,"&lt;&gt;"),COUNTIFS($AC$45,"&lt;&gt;0",$AC$45,"&lt;&gt;"),COUNTIFS($AD$45,"&lt;&gt;0",$AD$45,"&lt;&gt;"),COUNTIFS($AE$45,"&lt;&gt;0",$AE$45,"&lt;&gt;"))=2,TRUE,FALSE)</f>
        <v>0</v>
      </c>
      <c r="AH45" s="46" t="e">
        <f>IF($B$36,NA(),IF($Z$45=0,NA(),IF($AG$45,SUM($AC$45,$AF$45,$AD$45,$AE$45)/2,IF(OR($AF$45&lt;&gt;0,$AD$45&lt;&gt;0),$D$44+$AB$45,$D$44-$AA$45)+$Z$45/2)))</f>
        <v>#N/A</v>
      </c>
    </row>
    <row r="46" spans="1:34">
      <c r="A46" s="46"/>
      <c r="B46" s="46"/>
      <c r="C46" s="46" t="e">
        <f>#REF!</f>
        <v>#REF!</v>
      </c>
      <c r="D46" s="46" t="e">
        <f>SUM($D$45,$C$46)</f>
        <v>#REF!</v>
      </c>
      <c r="E46" s="46" t="e">
        <f>$D$45&gt;=0</f>
        <v>#REF!</v>
      </c>
      <c r="F46" s="46" t="e">
        <f>IF($B$36,AND($D$45&lt;=0,SUM($D$45,$C$46)&gt; 0),AND($D$45&lt;=0,SUM($D$45,$R$46)&gt; 0))</f>
        <v>#REF!</v>
      </c>
      <c r="G46" s="46" t="e">
        <f>IF($B$36,AND($D$45&gt;=0,SUM($D$45,$C$46)&lt; 0),AND($D$45&gt;=0,SUM($D$45,$Q$46)&lt; 0))</f>
        <v>#REF!</v>
      </c>
      <c r="H46" s="46" t="e">
        <f>OR($G$46,$F$46)</f>
        <v>#REF!</v>
      </c>
      <c r="I46" s="46" t="e">
        <f>IF($H$46,IF($G$46,"atb","bta"),IF($E$46,"nca","ncb"))</f>
        <v>#REF!</v>
      </c>
      <c r="J46" s="46" t="e">
        <f>IF($H$46,0,IF($B$36,IF($E$46,IF($C$46&gt;=0,$D$45,$D$45+$C$46),IF($C$46&gt;=0,$D$45+$C$46,$D$45)),IF($E$46,SUM($D$45,$Q$46),SUM($D$45,$R$46))))</f>
        <v>#REF!</v>
      </c>
      <c r="K46" s="46"/>
      <c r="L46" s="46"/>
      <c r="M46" s="46" t="e">
        <f>IF(COUNTIF(#REF!, "= 0")+ COUNTBLANK(#REF!) = 1,NA(),IF($B$36,NA(),IF($C$46&gt;=0,SUM($D$45,$R$46),NA())))</f>
        <v>#REF!</v>
      </c>
      <c r="N46" s="46" t="e">
        <f>IF(COUNTIF(#REF!, "= 0")+ COUNTBLANK(#REF!) = 1,NA(),IF($B$36,NA(),IF($C$46&gt;=0,NA(),SUM($D$45,$Q$46))))</f>
        <v>#REF!</v>
      </c>
      <c r="O46" s="46" t="e">
        <f>$C$46</f>
        <v>#REF!</v>
      </c>
      <c r="P46" s="46" t="e">
        <f>$C$46</f>
        <v>#REF!</v>
      </c>
      <c r="Q46" s="46">
        <f>SUMIF($Z$46:$Z$46,"&lt;0")</f>
        <v>0</v>
      </c>
      <c r="R46" s="46">
        <f>SUMIF($Z$46:$Z$46,"&gt;0")</f>
        <v>0</v>
      </c>
      <c r="S46" s="46" t="e">
        <f>IF($B$36,IF($I$46="nca",IF($C$46&gt;=0,0,ABS($C$46)),IF($I$46="ncb",0,IF($I$46="atb",IF($C$46&gt;=0,0,IF($D$45&lt;0,0,IF(ABS($C$46)&gt;$D$45,$D$45,ABS($C$46)))),IF($I$46="bta",0,"err")))),)</f>
        <v>#REF!</v>
      </c>
      <c r="T46" s="46" t="e">
        <f>IF($B$36,IF($I$46="nca",IF($C$46&lt;0,0,ABS($C$46)),IF($I$46="ncb",0,IF($I$46="atb",IF($C$46&lt;=0,0,$C$46),IF($I$46="bta",IF($C$46&lt;=0,0,$V$46+$C$46),"err")))),)</f>
        <v>#REF!</v>
      </c>
      <c r="U46" s="46" t="e">
        <f>IF($B$36,IF($I$46="nca",0,IF($I$46="ncb",IF($C$46&lt;=0,-ABS($C$46),0),IF($I$46="atb",IF($C$46&lt;0,$C$46+$S$46,0),IF($I$46="bta",IF($C$46&lt;=0,$C$46,0),"err")))),)</f>
        <v>#REF!</v>
      </c>
      <c r="V46" s="46" t="e">
        <f>IF($B$36,IF($I$46="nca",0,IF($I$46="ncb",IF($C$46&gt;=0,-ABS($C$46),0),IF($I$46="atb",0,IF($I$46="bta",IF($C$46&lt;=0,0,IF($D$45&gt;0,0,IF(ABS($C$46)&lt;ABS($D$45),-ABS($C$46),$D$45))),"err")))),)</f>
        <v>#REF!</v>
      </c>
      <c r="W46" s="46" t="e">
        <f>IF($C$46&gt;=0,IF($B$36,IF($C$46=0,NA(),$D$46),NA()),NA())</f>
        <v>#REF!</v>
      </c>
      <c r="X46" s="46" t="e">
        <f>IF($C$46&lt;0,IF($B$36,IF($C$46=0,NA(),$D$46),NA()),NA())</f>
        <v>#REF!</v>
      </c>
      <c r="Y46" s="46" t="e">
        <f>IF(IF($B$36,$C$39 = 0,COUNTIF(#REF!, "= 0")+ COUNTBLANK(#REF!) = 1),$Y$45,NA())</f>
        <v>#REF!</v>
      </c>
      <c r="Z46" s="46" t="e">
        <f>#REF!</f>
        <v>#REF!</v>
      </c>
      <c r="AA46" s="46">
        <v>0</v>
      </c>
      <c r="AB46" s="46">
        <v>0</v>
      </c>
      <c r="AC46" s="46">
        <f>IF($B$36,,IF($I$46="nca",IF($Z$46&gt;=0,0,ABS($Z$46)),IF($I$46="ncb",0,IF($I$46="atb",IF($Z$46&gt;=0,0,IF($D$45-$AA$46&lt;0,0,IF(ABS($Z$46)&gt;$D$45-$AA$46,$D$45-$AA$46,ABS($Z$46)))),IF($I$46="bta",0,"err")))))</f>
        <v>0</v>
      </c>
      <c r="AD46" s="46">
        <f>IF($B$36,,IF($I$46="nca",0,IF($I$46="ncb",IF($Z$46&gt;=0,-ABS($Z$46),0),IF($I$46="atb",0,IF($I$46="bta",IF($Z$46&lt;=0,0,IF($D$45+$AB$46&gt;0,0,IF(ABS($Z$46)&lt;ABS($D$45+$AB$46),-ABS($Z$46),$D$45+$AB$46))),"err")))))</f>
        <v>0</v>
      </c>
      <c r="AE46" s="46">
        <f>IF($B$36,,IF($I$46="nca",0,IF($I$46="ncb",IF($Z$46&lt;=0,-ABS($Z$46),0),IF($I$46="atb",IF($Z$46&lt;0,$Z$46+$AC$46,0),IF($I$46="bta",IF($Z$46&lt;=0,$Z$46,0),"err")))))</f>
        <v>0</v>
      </c>
      <c r="AF46" s="46">
        <f>IF($B$36,,IF($I$46="nca",IF($Z$46&lt;0,0,ABS($Z$46)),IF($I$46="ncb",0,IF($I$46="atb",IF($Z$46&lt;=0,0,$Z$46),IF($I$46="bta",IF($Z$46&lt;=0,0,$AD$46+$Z$46),"err")))))</f>
        <v>0</v>
      </c>
      <c r="AG46" s="46" t="b">
        <f>IF(SUM(COUNTIFS($AF$46,"&lt;&gt;0",$AF$46,"&lt;&gt;"),COUNTIFS($AC$46,"&lt;&gt;0",$AC$46,"&lt;&gt;"),COUNTIFS($AD$46,"&lt;&gt;0",$AD$46,"&lt;&gt;"),COUNTIFS($AE$46,"&lt;&gt;0",$AE$46,"&lt;&gt;"))=2,TRUE,FALSE)</f>
        <v>0</v>
      </c>
      <c r="AH46" s="46" t="e">
        <f>IF($B$36,NA(),IF($Z$46=0,NA(),IF($AG$46,SUM($AC$46,$AF$46,$AD$46,$AE$46)/2,IF(OR($AF$46&lt;&gt;0,$AD$46&lt;&gt;0),$D$45+$AB$46,$D$45-$AA$46)+$Z$46/2)))</f>
        <v>#N/A</v>
      </c>
    </row>
    <row r="47" spans="1:34">
      <c r="A47" s="46"/>
      <c r="B47" s="46"/>
      <c r="C47" s="46" t="e">
        <f>#REF!</f>
        <v>#REF!</v>
      </c>
      <c r="D47" s="46" t="e">
        <f>SUM($D$46,$C$47)</f>
        <v>#REF!</v>
      </c>
      <c r="E47" s="46" t="e">
        <f>$D$46&gt;=0</f>
        <v>#REF!</v>
      </c>
      <c r="F47" s="46" t="e">
        <f>IF($B$36,AND($D$46&lt;=0,SUM($D$46,$C$47)&gt; 0),AND($D$46&lt;=0,SUM($D$46,$R$47)&gt; 0))</f>
        <v>#REF!</v>
      </c>
      <c r="G47" s="46" t="e">
        <f>IF($B$36,AND($D$46&gt;=0,SUM($D$46,$C$47)&lt; 0),AND($D$46&gt;=0,SUM($D$46,$Q$47)&lt; 0))</f>
        <v>#REF!</v>
      </c>
      <c r="H47" s="46" t="e">
        <f>OR($G$47,$F$47)</f>
        <v>#REF!</v>
      </c>
      <c r="I47" s="46" t="e">
        <f>IF($H$47,IF($G$47,"atb","bta"),IF($E$47,"nca","ncb"))</f>
        <v>#REF!</v>
      </c>
      <c r="J47" s="46" t="e">
        <f>IF($H$47,0,IF($B$36,IF($E$47,IF($C$47&gt;=0,$D$46,$D$46+$C$47),IF($C$47&gt;=0,$D$46+$C$47,$D$46)),IF($E$47,SUM($D$46,$Q$47),SUM($D$46,$R$47))))</f>
        <v>#REF!</v>
      </c>
      <c r="K47" s="46"/>
      <c r="L47" s="46"/>
      <c r="M47" s="46" t="e">
        <f>IF(COUNTIF(#REF!, "= 0")+ COUNTBLANK(#REF!) = 1,NA(),IF($B$36,NA(),IF($C$47&gt;=0,SUM($D$46,$R$47),NA())))</f>
        <v>#REF!</v>
      </c>
      <c r="N47" s="46" t="e">
        <f>IF(COUNTIF(#REF!, "= 0")+ COUNTBLANK(#REF!) = 1,NA(),IF($B$36,NA(),IF($C$47&gt;=0,NA(),SUM($D$46,$Q$47))))</f>
        <v>#REF!</v>
      </c>
      <c r="O47" s="46" t="e">
        <f>$C$47</f>
        <v>#REF!</v>
      </c>
      <c r="P47" s="46" t="e">
        <f>$C$47</f>
        <v>#REF!</v>
      </c>
      <c r="Q47" s="46">
        <f>SUMIF($Z$47:$Z$47,"&lt;0")</f>
        <v>0</v>
      </c>
      <c r="R47" s="46">
        <f>SUMIF($Z$47:$Z$47,"&gt;0")</f>
        <v>0</v>
      </c>
      <c r="S47" s="46" t="e">
        <f>IF($B$36,IF($I$47="nca",IF($C$47&gt;=0,0,ABS($C$47)),IF($I$47="ncb",0,IF($I$47="atb",IF($C$47&gt;=0,0,IF($D$46&lt;0,0,IF(ABS($C$47)&gt;$D$46,$D$46,ABS($C$47)))),IF($I$47="bta",0,"err")))),)</f>
        <v>#REF!</v>
      </c>
      <c r="T47" s="46" t="e">
        <f>IF($B$36,IF($I$47="nca",IF($C$47&lt;0,0,ABS($C$47)),IF($I$47="ncb",0,IF($I$47="atb",IF($C$47&lt;=0,0,$C$47),IF($I$47="bta",IF($C$47&lt;=0,0,$V$47+$C$47),"err")))),)</f>
        <v>#REF!</v>
      </c>
      <c r="U47" s="46" t="e">
        <f>IF($B$36,IF($I$47="nca",0,IF($I$47="ncb",IF($C$47&lt;=0,-ABS($C$47),0),IF($I$47="atb",IF($C$47&lt;0,$C$47+$S$47,0),IF($I$47="bta",IF($C$47&lt;=0,$C$47,0),"err")))),)</f>
        <v>#REF!</v>
      </c>
      <c r="V47" s="46" t="e">
        <f>IF($B$36,IF($I$47="nca",0,IF($I$47="ncb",IF($C$47&gt;=0,-ABS($C$47),0),IF($I$47="atb",0,IF($I$47="bta",IF($C$47&lt;=0,0,IF($D$46&gt;0,0,IF(ABS($C$47)&lt;ABS($D$46),-ABS($C$47),$D$46))),"err")))),)</f>
        <v>#REF!</v>
      </c>
      <c r="W47" s="46" t="e">
        <f>IF($C$47&gt;=0,IF($B$36,IF($C$47=0,NA(),$D$47),NA()),NA())</f>
        <v>#REF!</v>
      </c>
      <c r="X47" s="46" t="e">
        <f>IF($C$47&lt;0,IF($B$36,IF($C$47=0,NA(),$D$47),NA()),NA())</f>
        <v>#REF!</v>
      </c>
      <c r="Y47" s="46" t="e">
        <f>$D$39</f>
        <v>#REF!</v>
      </c>
      <c r="Z47" s="46" t="e">
        <f>#REF!</f>
        <v>#REF!</v>
      </c>
      <c r="AA47" s="46">
        <v>0</v>
      </c>
      <c r="AB47" s="46">
        <v>0</v>
      </c>
      <c r="AC47" s="46">
        <f>IF($B$36,,IF($I$47="nca",IF($Z$47&gt;=0,0,ABS($Z$47)),IF($I$47="ncb",0,IF($I$47="atb",IF($Z$47&gt;=0,0,IF($D$46-$AA$47&lt;0,0,IF(ABS($Z$47)&gt;$D$46-$AA$47,$D$46-$AA$47,ABS($Z$47)))),IF($I$47="bta",0,"err")))))</f>
        <v>0</v>
      </c>
      <c r="AD47" s="46">
        <f>IF($B$36,,IF($I$47="nca",0,IF($I$47="ncb",IF($Z$47&gt;=0,-ABS($Z$47),0),IF($I$47="atb",0,IF($I$47="bta",IF($Z$47&lt;=0,0,IF($D$46+$AB$47&gt;0,0,IF(ABS($Z$47)&lt;ABS($D$46+$AB$47),-ABS($Z$47),$D$46+$AB$47))),"err")))))</f>
        <v>0</v>
      </c>
      <c r="AE47" s="46">
        <f>IF($B$36,,IF($I$47="nca",0,IF($I$47="ncb",IF($Z$47&lt;=0,-ABS($Z$47),0),IF($I$47="atb",IF($Z$47&lt;0,$Z$47+$AC$47,0),IF($I$47="bta",IF($Z$47&lt;=0,$Z$47,0),"err")))))</f>
        <v>0</v>
      </c>
      <c r="AF47" s="46">
        <f>IF($B$36,,IF($I$47="nca",IF($Z$47&lt;0,0,ABS($Z$47)),IF($I$47="ncb",0,IF($I$47="atb",IF($Z$47&lt;=0,0,$Z$47),IF($I$47="bta",IF($Z$47&lt;=0,0,$AD$47+$Z$47),"err")))))</f>
        <v>0</v>
      </c>
      <c r="AG47" s="46" t="b">
        <f>IF(SUM(COUNTIFS($AF$47,"&lt;&gt;0",$AF$47,"&lt;&gt;"),COUNTIFS($AC$47,"&lt;&gt;0",$AC$47,"&lt;&gt;"),COUNTIFS($AD$47,"&lt;&gt;0",$AD$47,"&lt;&gt;"),COUNTIFS($AE$47,"&lt;&gt;0",$AE$47,"&lt;&gt;"))=2,TRUE,FALSE)</f>
        <v>0</v>
      </c>
      <c r="AH47" s="46" t="e">
        <f>IF($B$36,NA(),IF($Z$47=0,NA(),IF($AG$47,SUM($AC$47,$AF$47,$AD$47,$AE$47)/2,IF(OR($AF$47&lt;&gt;0,$AD$47&lt;&gt;0),$D$46+$AB$47,$D$46-$AA$47)+$Z$47/2)))</f>
        <v>#N/A</v>
      </c>
    </row>
    <row r="48" spans="1:34">
      <c r="A48" s="46"/>
      <c r="B48" s="46"/>
      <c r="C48" s="46" t="e">
        <f>#REF!</f>
        <v>#REF!</v>
      </c>
      <c r="D48" s="46" t="e">
        <f>SUM($D$47,$C$48)</f>
        <v>#REF!</v>
      </c>
      <c r="E48" s="46" t="e">
        <f>$D$47&gt;=0</f>
        <v>#REF!</v>
      </c>
      <c r="F48" s="46" t="e">
        <f>IF($B$36,AND($D$47&lt;=0,SUM($D$47,$C$48)&gt; 0),AND($D$47&lt;=0,SUM($D$47,$R$48)&gt; 0))</f>
        <v>#REF!</v>
      </c>
      <c r="G48" s="46" t="e">
        <f>IF($B$36,AND($D$47&gt;=0,SUM($D$47,$C$48)&lt; 0),AND($D$47&gt;=0,SUM($D$47,$Q$48)&lt; 0))</f>
        <v>#REF!</v>
      </c>
      <c r="H48" s="46" t="e">
        <f>OR($G$48,$F$48)</f>
        <v>#REF!</v>
      </c>
      <c r="I48" s="46" t="e">
        <f>IF($H$48,IF($G$48,"atb","bta"),IF($E$48,"nca","ncb"))</f>
        <v>#REF!</v>
      </c>
      <c r="J48" s="46" t="e">
        <f>IF($H$48,0,IF($B$36,IF($E$48,IF($C$48&gt;=0,$D$47,$D$47+$C$48),IF($C$48&gt;=0,$D$47+$C$48,$D$47)),IF($E$48,SUM($D$47,$Q$48),SUM($D$47,$R$48))))</f>
        <v>#REF!</v>
      </c>
      <c r="K48" s="46"/>
      <c r="L48" s="46"/>
      <c r="M48" s="46" t="e">
        <f>IF(COUNTIF(#REF!, "= 0")+ COUNTBLANK(#REF!) = 1,NA(),IF($B$36,NA(),IF($C$48&gt;=0,SUM($D$47,$R$48),NA())))</f>
        <v>#REF!</v>
      </c>
      <c r="N48" s="46" t="e">
        <f>IF(COUNTIF(#REF!, "= 0")+ COUNTBLANK(#REF!) = 1,NA(),IF($B$36,NA(),IF($C$48&gt;=0,NA(),SUM($D$47,$Q$48))))</f>
        <v>#REF!</v>
      </c>
      <c r="O48" s="46" t="e">
        <f>$C$48</f>
        <v>#REF!</v>
      </c>
      <c r="P48" s="46" t="e">
        <f>$C$48</f>
        <v>#REF!</v>
      </c>
      <c r="Q48" s="46">
        <f>SUMIF($Z$48:$Z$48,"&lt;0")</f>
        <v>0</v>
      </c>
      <c r="R48" s="46">
        <f>SUMIF($Z$48:$Z$48,"&gt;0")</f>
        <v>0</v>
      </c>
      <c r="S48" s="46" t="e">
        <f>IF($B$36,IF($I$48="nca",IF($C$48&gt;=0,0,ABS($C$48)),IF($I$48="ncb",0,IF($I$48="atb",IF($C$48&gt;=0,0,IF($D$47&lt;0,0,IF(ABS($C$48)&gt;$D$47,$D$47,ABS($C$48)))),IF($I$48="bta",0,"err")))),)</f>
        <v>#REF!</v>
      </c>
      <c r="T48" s="46" t="e">
        <f>IF($B$36,IF($I$48="nca",IF($C$48&lt;0,0,ABS($C$48)),IF($I$48="ncb",0,IF($I$48="atb",IF($C$48&lt;=0,0,$C$48),IF($I$48="bta",IF($C$48&lt;=0,0,$V$48+$C$48),"err")))),)</f>
        <v>#REF!</v>
      </c>
      <c r="U48" s="46" t="e">
        <f>IF($B$36,IF($I$48="nca",0,IF($I$48="ncb",IF($C$48&lt;=0,-ABS($C$48),0),IF($I$48="atb",IF($C$48&lt;0,$C$48+$S$48,0),IF($I$48="bta",IF($C$48&lt;=0,$C$48,0),"err")))),)</f>
        <v>#REF!</v>
      </c>
      <c r="V48" s="46" t="e">
        <f>IF($B$36,IF($I$48="nca",0,IF($I$48="ncb",IF($C$48&gt;=0,-ABS($C$48),0),IF($I$48="atb",0,IF($I$48="bta",IF($C$48&lt;=0,0,IF($D$47&gt;0,0,IF(ABS($C$48)&lt;ABS($D$47),-ABS($C$48),$D$47))),"err")))),)</f>
        <v>#REF!</v>
      </c>
      <c r="W48" s="46" t="e">
        <f>IF($C$48&gt;=0,IF($B$36,IF($C$48=0,NA(),$D$48),NA()),NA())</f>
        <v>#REF!</v>
      </c>
      <c r="X48" s="46" t="e">
        <f>IF($C$48&lt;0,IF($B$36,IF($C$48=0,NA(),$D$48),NA()),NA())</f>
        <v>#REF!</v>
      </c>
      <c r="Y48" s="46" t="e">
        <f>$D$39</f>
        <v>#REF!</v>
      </c>
      <c r="Z48" s="46" t="e">
        <f>#REF!</f>
        <v>#REF!</v>
      </c>
      <c r="AA48" s="46">
        <v>0</v>
      </c>
      <c r="AB48" s="46">
        <v>0</v>
      </c>
      <c r="AC48" s="46">
        <f>IF($B$36,,IF($I$48="nca",IF($Z$48&gt;=0,0,ABS($Z$48)),IF($I$48="ncb",0,IF($I$48="atb",IF($Z$48&gt;=0,0,IF($D$47-$AA$48&lt;0,0,IF(ABS($Z$48)&gt;$D$47-$AA$48,$D$47-$AA$48,ABS($Z$48)))),IF($I$48="bta",0,"err")))))</f>
        <v>0</v>
      </c>
      <c r="AD48" s="46">
        <f>IF($B$36,,IF($I$48="nca",0,IF($I$48="ncb",IF($Z$48&gt;=0,-ABS($Z$48),0),IF($I$48="atb",0,IF($I$48="bta",IF($Z$48&lt;=0,0,IF($D$47+$AB$48&gt;0,0,IF(ABS($Z$48)&lt;ABS($D$47+$AB$48),-ABS($Z$48),$D$47+$AB$48))),"err")))))</f>
        <v>0</v>
      </c>
      <c r="AE48" s="46">
        <f>IF($B$36,,IF($I$48="nca",0,IF($I$48="ncb",IF($Z$48&lt;=0,-ABS($Z$48),0),IF($I$48="atb",IF($Z$48&lt;0,$Z$48+$AC$48,0),IF($I$48="bta",IF($Z$48&lt;=0,$Z$48,0),"err")))))</f>
        <v>0</v>
      </c>
      <c r="AF48" s="46">
        <f>IF($B$36,,IF($I$48="nca",IF($Z$48&lt;0,0,ABS($Z$48)),IF($I$48="ncb",0,IF($I$48="atb",IF($Z$48&lt;=0,0,$Z$48),IF($I$48="bta",IF($Z$48&lt;=0,0,$AD$48+$Z$48),"err")))))</f>
        <v>0</v>
      </c>
      <c r="AG48" s="46" t="b">
        <f>IF(SUM(COUNTIFS($AF$48,"&lt;&gt;0",$AF$48,"&lt;&gt;"),COUNTIFS($AC$48,"&lt;&gt;0",$AC$48,"&lt;&gt;"),COUNTIFS($AD$48,"&lt;&gt;0",$AD$48,"&lt;&gt;"),COUNTIFS($AE$48,"&lt;&gt;0",$AE$48,"&lt;&gt;"))=2,TRUE,FALSE)</f>
        <v>0</v>
      </c>
      <c r="AH48" s="46" t="e">
        <f>IF($B$36,NA(),IF($Z$48=0,NA(),IF($AG$48,SUM($AC$48,$AF$48,$AD$48,$AE$48)/2,IF(OR($AF$48&lt;&gt;0,$AD$48&lt;&gt;0),$D$47+$AB$48,$D$47-$AA$48)+$Z$48/2)))</f>
        <v>#N/A</v>
      </c>
    </row>
    <row r="49" spans="1:34">
      <c r="A49" s="46"/>
      <c r="B49" s="46"/>
      <c r="C49" s="46" t="e">
        <f>#REF!</f>
        <v>#REF!</v>
      </c>
      <c r="D49" s="46" t="e">
        <f>SUM($D$48,$C$49)</f>
        <v>#REF!</v>
      </c>
      <c r="E49" s="46" t="e">
        <f>$D$48&gt;=0</f>
        <v>#REF!</v>
      </c>
      <c r="F49" s="46" t="e">
        <f>IF($B$36,AND($D$48&lt;=0,SUM($D$48,$C$49)&gt; 0),AND($D$48&lt;=0,SUM($D$48,$R$49)&gt; 0))</f>
        <v>#REF!</v>
      </c>
      <c r="G49" s="46" t="e">
        <f>IF($B$36,AND($D$48&gt;=0,SUM($D$48,$C$49)&lt; 0),AND($D$48&gt;=0,SUM($D$48,$Q$49)&lt; 0))</f>
        <v>#REF!</v>
      </c>
      <c r="H49" s="46" t="e">
        <f>OR($G$49,$F$49)</f>
        <v>#REF!</v>
      </c>
      <c r="I49" s="46" t="e">
        <f>IF($H$49,IF($G$49,"atb","bta"),IF($E$49,"nca","ncb"))</f>
        <v>#REF!</v>
      </c>
      <c r="J49" s="46" t="e">
        <f>IF($H$49,0,IF($B$36,IF($E$49,IF($C$49&gt;=0,$D$48,$D$48+$C$49),IF($C$49&gt;=0,$D$48+$C$49,$D$48)),IF($E$49,SUM($D$48,$Q$49),SUM($D$48,$R$49))))</f>
        <v>#REF!</v>
      </c>
      <c r="K49" s="46"/>
      <c r="L49" s="46"/>
      <c r="M49" s="46" t="e">
        <f>IF(COUNTIF(#REF!, "= 0")+ COUNTBLANK(#REF!) = 1,NA(),IF($B$36,NA(),IF($C$49&gt;=0,SUM($D$48,$R$49),NA())))</f>
        <v>#REF!</v>
      </c>
      <c r="N49" s="46" t="e">
        <f>IF(COUNTIF(#REF!, "= 0")+ COUNTBLANK(#REF!) = 1,NA(),IF($B$36,NA(),IF($C$49&gt;=0,NA(),SUM($D$48,$Q$49))))</f>
        <v>#REF!</v>
      </c>
      <c r="O49" s="46" t="e">
        <f>$C$49</f>
        <v>#REF!</v>
      </c>
      <c r="P49" s="46" t="e">
        <f>$C$49</f>
        <v>#REF!</v>
      </c>
      <c r="Q49" s="46">
        <f>SUMIF($Z$49:$Z$49,"&lt;0")</f>
        <v>0</v>
      </c>
      <c r="R49" s="46">
        <f>SUMIF($Z$49:$Z$49,"&gt;0")</f>
        <v>0</v>
      </c>
      <c r="S49" s="46" t="e">
        <f>IF($B$36,IF($I$49="nca",IF($C$49&gt;=0,0,ABS($C$49)),IF($I$49="ncb",0,IF($I$49="atb",IF($C$49&gt;=0,0,IF($D$48&lt;0,0,IF(ABS($C$49)&gt;$D$48,$D$48,ABS($C$49)))),IF($I$49="bta",0,"err")))),)</f>
        <v>#REF!</v>
      </c>
      <c r="T49" s="46" t="e">
        <f>IF($B$36,IF($I$49="nca",IF($C$49&lt;0,0,ABS($C$49)),IF($I$49="ncb",0,IF($I$49="atb",IF($C$49&lt;=0,0,$C$49),IF($I$49="bta",IF($C$49&lt;=0,0,$V$49+$C$49),"err")))),)</f>
        <v>#REF!</v>
      </c>
      <c r="U49" s="46" t="e">
        <f>IF($B$36,IF($I$49="nca",0,IF($I$49="ncb",IF($C$49&lt;=0,-ABS($C$49),0),IF($I$49="atb",IF($C$49&lt;0,$C$49+$S$49,0),IF($I$49="bta",IF($C$49&lt;=0,$C$49,0),"err")))),)</f>
        <v>#REF!</v>
      </c>
      <c r="V49" s="46" t="e">
        <f>IF($B$36,IF($I$49="nca",0,IF($I$49="ncb",IF($C$49&gt;=0,-ABS($C$49),0),IF($I$49="atb",0,IF($I$49="bta",IF($C$49&lt;=0,0,IF($D$48&gt;0,0,IF(ABS($C$49)&lt;ABS($D$48),-ABS($C$49),$D$48))),"err")))),)</f>
        <v>#REF!</v>
      </c>
      <c r="W49" s="46" t="e">
        <f>IF($C$49&gt;=0,IF($B$36,IF($C$49=0,NA(),$D$49),NA()),NA())</f>
        <v>#REF!</v>
      </c>
      <c r="X49" s="46" t="e">
        <f>IF($C$49&lt;0,IF($B$36,IF($C$49=0,NA(),$D$49),NA()),NA())</f>
        <v>#REF!</v>
      </c>
      <c r="Y49" s="46" t="e">
        <f>IF(IF($B$36,$C$40 = 0,COUNTIF(#REF!, "= 0")+ COUNTBLANK(#REF!) = 1),$Y$48,NA())</f>
        <v>#REF!</v>
      </c>
      <c r="Z49" s="46" t="e">
        <f>#REF!</f>
        <v>#REF!</v>
      </c>
      <c r="AA49" s="46">
        <v>0</v>
      </c>
      <c r="AB49" s="46">
        <v>0</v>
      </c>
      <c r="AC49" s="46">
        <f>IF($B$36,,IF($I$49="nca",IF($Z$49&gt;=0,0,ABS($Z$49)),IF($I$49="ncb",0,IF($I$49="atb",IF($Z$49&gt;=0,0,IF($D$48-$AA$49&lt;0,0,IF(ABS($Z$49)&gt;$D$48-$AA$49,$D$48-$AA$49,ABS($Z$49)))),IF($I$49="bta",0,"err")))))</f>
        <v>0</v>
      </c>
      <c r="AD49" s="46">
        <f>IF($B$36,,IF($I$49="nca",0,IF($I$49="ncb",IF($Z$49&gt;=0,-ABS($Z$49),0),IF($I$49="atb",0,IF($I$49="bta",IF($Z$49&lt;=0,0,IF($D$48+$AB$49&gt;0,0,IF(ABS($Z$49)&lt;ABS($D$48+$AB$49),-ABS($Z$49),$D$48+$AB$49))),"err")))))</f>
        <v>0</v>
      </c>
      <c r="AE49" s="46">
        <f>IF($B$36,,IF($I$49="nca",0,IF($I$49="ncb",IF($Z$49&lt;=0,-ABS($Z$49),0),IF($I$49="atb",IF($Z$49&lt;0,$Z$49+$AC$49,0),IF($I$49="bta",IF($Z$49&lt;=0,$Z$49,0),"err")))))</f>
        <v>0</v>
      </c>
      <c r="AF49" s="46">
        <f>IF($B$36,,IF($I$49="nca",IF($Z$49&lt;0,0,ABS($Z$49)),IF($I$49="ncb",0,IF($I$49="atb",IF($Z$49&lt;=0,0,$Z$49),IF($I$49="bta",IF($Z$49&lt;=0,0,$AD$49+$Z$49),"err")))))</f>
        <v>0</v>
      </c>
      <c r="AG49" s="46" t="b">
        <f>IF(SUM(COUNTIFS($AF$49,"&lt;&gt;0",$AF$49,"&lt;&gt;"),COUNTIFS($AC$49,"&lt;&gt;0",$AC$49,"&lt;&gt;"),COUNTIFS($AD$49,"&lt;&gt;0",$AD$49,"&lt;&gt;"),COUNTIFS($AE$49,"&lt;&gt;0",$AE$49,"&lt;&gt;"))=2,TRUE,FALSE)</f>
        <v>0</v>
      </c>
      <c r="AH49" s="46" t="e">
        <f>IF($B$36,NA(),IF($Z$49=0,NA(),IF($AG$49,SUM($AC$49,$AF$49,$AD$49,$AE$49)/2,IF(OR($AF$49&lt;&gt;0,$AD$49&lt;&gt;0),$D$48+$AB$49,$D$48-$AA$49)+$Z$49/2)))</f>
        <v>#N/A</v>
      </c>
    </row>
    <row r="50" spans="1:34">
      <c r="A50" s="46"/>
      <c r="B50" s="46"/>
      <c r="C50" s="46" t="e">
        <f>#REF!</f>
        <v>#REF!</v>
      </c>
      <c r="D50" s="46" t="e">
        <f>SUM($D$49,$C$50)</f>
        <v>#REF!</v>
      </c>
      <c r="E50" s="46" t="e">
        <f>$D$49&gt;=0</f>
        <v>#REF!</v>
      </c>
      <c r="F50" s="46" t="e">
        <f>IF($B$36,AND($D$49&lt;=0,SUM($D$49,$C$50)&gt; 0),AND($D$49&lt;=0,SUM($D$49,$R$50)&gt; 0))</f>
        <v>#REF!</v>
      </c>
      <c r="G50" s="46" t="e">
        <f>IF($B$36,AND($D$49&gt;=0,SUM($D$49,$C$50)&lt; 0),AND($D$49&gt;=0,SUM($D$49,$Q$50)&lt; 0))</f>
        <v>#REF!</v>
      </c>
      <c r="H50" s="46" t="e">
        <f>OR($G$50,$F$50)</f>
        <v>#REF!</v>
      </c>
      <c r="I50" s="46" t="e">
        <f>IF($H$50,IF($G$50,"atb","bta"),IF($E$50,"nca","ncb"))</f>
        <v>#REF!</v>
      </c>
      <c r="J50" s="46" t="e">
        <f>IF($H$50,0,IF($B$36,IF($E$50,IF($C$50&gt;=0,$D$49,$D$49+$C$50),IF($C$50&gt;=0,$D$49+$C$50,$D$49)),IF($E$50,SUM($D$49,$Q$50),SUM($D$49,$R$50))))</f>
        <v>#REF!</v>
      </c>
      <c r="K50" s="46"/>
      <c r="L50" s="46"/>
      <c r="M50" s="46" t="e">
        <f>IF(COUNTIF(#REF!, "= 0")+ COUNTBLANK(#REF!) = 1,NA(),IF($B$36,NA(),IF($C$50&gt;=0,SUM($D$49,$R$50),NA())))</f>
        <v>#REF!</v>
      </c>
      <c r="N50" s="46" t="e">
        <f>IF(COUNTIF(#REF!, "= 0")+ COUNTBLANK(#REF!) = 1,NA(),IF($B$36,NA(),IF($C$50&gt;=0,NA(),SUM($D$49,$Q$50))))</f>
        <v>#REF!</v>
      </c>
      <c r="O50" s="46" t="e">
        <f>$C$50</f>
        <v>#REF!</v>
      </c>
      <c r="P50" s="46" t="e">
        <f>$C$50</f>
        <v>#REF!</v>
      </c>
      <c r="Q50" s="46">
        <f>SUMIF($Z$50:$Z$50,"&lt;0")</f>
        <v>0</v>
      </c>
      <c r="R50" s="46">
        <f>SUMIF($Z$50:$Z$50,"&gt;0")</f>
        <v>0</v>
      </c>
      <c r="S50" s="46" t="e">
        <f>IF($B$36,IF($I$50="nca",IF($C$50&gt;=0,0,ABS($C$50)),IF($I$50="ncb",0,IF($I$50="atb",IF($C$50&gt;=0,0,IF($D$49&lt;0,0,IF(ABS($C$50)&gt;$D$49,$D$49,ABS($C$50)))),IF($I$50="bta",0,"err")))),)</f>
        <v>#REF!</v>
      </c>
      <c r="T50" s="46" t="e">
        <f>IF($B$36,IF($I$50="nca",IF($C$50&lt;0,0,ABS($C$50)),IF($I$50="ncb",0,IF($I$50="atb",IF($C$50&lt;=0,0,$C$50),IF($I$50="bta",IF($C$50&lt;=0,0,$V$50+$C$50),"err")))),)</f>
        <v>#REF!</v>
      </c>
      <c r="U50" s="46" t="e">
        <f>IF($B$36,IF($I$50="nca",0,IF($I$50="ncb",IF($C$50&lt;=0,-ABS($C$50),0),IF($I$50="atb",IF($C$50&lt;0,$C$50+$S$50,0),IF($I$50="bta",IF($C$50&lt;=0,$C$50,0),"err")))),)</f>
        <v>#REF!</v>
      </c>
      <c r="V50" s="46" t="e">
        <f>IF($B$36,IF($I$50="nca",0,IF($I$50="ncb",IF($C$50&gt;=0,-ABS($C$50),0),IF($I$50="atb",0,IF($I$50="bta",IF($C$50&lt;=0,0,IF($D$49&gt;0,0,IF(ABS($C$50)&lt;ABS($D$49),-ABS($C$50),$D$49))),"err")))),)</f>
        <v>#REF!</v>
      </c>
      <c r="W50" s="46" t="e">
        <f>IF($C$50&gt;=0,IF($B$36,IF($C$50=0,NA(),$D$50),NA()),NA())</f>
        <v>#REF!</v>
      </c>
      <c r="X50" s="46" t="e">
        <f>IF($C$50&lt;0,IF($B$36,IF($C$50=0,NA(),$D$50),NA()),NA())</f>
        <v>#REF!</v>
      </c>
      <c r="Y50" s="46" t="e">
        <f>$D$40</f>
        <v>#REF!</v>
      </c>
      <c r="Z50" s="46" t="e">
        <f>#REF!</f>
        <v>#REF!</v>
      </c>
      <c r="AA50" s="46">
        <v>0</v>
      </c>
      <c r="AB50" s="46">
        <v>0</v>
      </c>
      <c r="AC50" s="46">
        <f>IF($B$36,,IF($I$50="nca",IF($Z$50&gt;=0,0,ABS($Z$50)),IF($I$50="ncb",0,IF($I$50="atb",IF($Z$50&gt;=0,0,IF($D$49-$AA$50&lt;0,0,IF(ABS($Z$50)&gt;$D$49-$AA$50,$D$49-$AA$50,ABS($Z$50)))),IF($I$50="bta",0,"err")))))</f>
        <v>0</v>
      </c>
      <c r="AD50" s="46">
        <f>IF($B$36,,IF($I$50="nca",0,IF($I$50="ncb",IF($Z$50&gt;=0,-ABS($Z$50),0),IF($I$50="atb",0,IF($I$50="bta",IF($Z$50&lt;=0,0,IF($D$49+$AB$50&gt;0,0,IF(ABS($Z$50)&lt;ABS($D$49+$AB$50),-ABS($Z$50),$D$49+$AB$50))),"err")))))</f>
        <v>0</v>
      </c>
      <c r="AE50" s="46">
        <f>IF($B$36,,IF($I$50="nca",0,IF($I$50="ncb",IF($Z$50&lt;=0,-ABS($Z$50),0),IF($I$50="atb",IF($Z$50&lt;0,$Z$50+$AC$50,0),IF($I$50="bta",IF($Z$50&lt;=0,$Z$50,0),"err")))))</f>
        <v>0</v>
      </c>
      <c r="AF50" s="46">
        <f>IF($B$36,,IF($I$50="nca",IF($Z$50&lt;0,0,ABS($Z$50)),IF($I$50="ncb",0,IF($I$50="atb",IF($Z$50&lt;=0,0,$Z$50),IF($I$50="bta",IF($Z$50&lt;=0,0,$AD$50+$Z$50),"err")))))</f>
        <v>0</v>
      </c>
      <c r="AG50" s="46" t="b">
        <f>IF(SUM(COUNTIFS($AF$50,"&lt;&gt;0",$AF$50,"&lt;&gt;"),COUNTIFS($AC$50,"&lt;&gt;0",$AC$50,"&lt;&gt;"),COUNTIFS($AD$50,"&lt;&gt;0",$AD$50,"&lt;&gt;"),COUNTIFS($AE$50,"&lt;&gt;0",$AE$50,"&lt;&gt;"))=2,TRUE,FALSE)</f>
        <v>0</v>
      </c>
      <c r="AH50" s="46" t="e">
        <f>IF($B$36,NA(),IF($Z$50=0,NA(),IF($AG$50,SUM($AC$50,$AF$50,$AD$50,$AE$50)/2,IF(OR($AF$50&lt;&gt;0,$AD$50&lt;&gt;0),$D$49+$AB$50,$D$49-$AA$50)+$Z$50/2)))</f>
        <v>#N/A</v>
      </c>
    </row>
    <row r="51" spans="1:34">
      <c r="A51" s="46"/>
      <c r="B51" s="46"/>
      <c r="C51" s="46" t="e">
        <f>#REF!</f>
        <v>#REF!</v>
      </c>
      <c r="D51" s="46" t="e">
        <f>SUM($D$50,$C$51)</f>
        <v>#REF!</v>
      </c>
      <c r="E51" s="46" t="e">
        <f>$D$50&gt;=0</f>
        <v>#REF!</v>
      </c>
      <c r="F51" s="46" t="e">
        <f>IF($B$36,AND($D$50&lt;=0,SUM($D$50,$C$51)&gt; 0),AND($D$50&lt;=0,SUM($D$50,$R$51)&gt; 0))</f>
        <v>#REF!</v>
      </c>
      <c r="G51" s="46" t="e">
        <f>IF($B$36,AND($D$50&gt;=0,SUM($D$50,$C$51)&lt; 0),AND($D$50&gt;=0,SUM($D$50,$Q$51)&lt; 0))</f>
        <v>#REF!</v>
      </c>
      <c r="H51" s="46" t="e">
        <f>OR($G$51,$F$51)</f>
        <v>#REF!</v>
      </c>
      <c r="I51" s="46" t="e">
        <f>IF($H$51,IF($G$51,"atb","bta"),IF($E$51,"nca","ncb"))</f>
        <v>#REF!</v>
      </c>
      <c r="J51" s="46" t="e">
        <f>IF($H$51,0,IF($B$36,IF($E$51,IF($C$51&gt;=0,$D$50,$D$50+$C$51),IF($C$51&gt;=0,$D$50+$C$51,$D$50)),IF($E$51,SUM($D$50,$Q$51),SUM($D$50,$R$51))))</f>
        <v>#REF!</v>
      </c>
      <c r="K51" s="46"/>
      <c r="L51" s="46"/>
      <c r="M51" s="46" t="e">
        <f>IF(COUNTIF(#REF!, "= 0")+ COUNTBLANK(#REF!) = 1,NA(),IF($B$36,NA(),IF($C$51&gt;=0,SUM($D$50,$R$51),NA())))</f>
        <v>#REF!</v>
      </c>
      <c r="N51" s="46" t="e">
        <f>IF(COUNTIF(#REF!, "= 0")+ COUNTBLANK(#REF!) = 1,NA(),IF($B$36,NA(),IF($C$51&gt;=0,NA(),SUM($D$50,$Q$51))))</f>
        <v>#REF!</v>
      </c>
      <c r="O51" s="46" t="e">
        <f>$C$51</f>
        <v>#REF!</v>
      </c>
      <c r="P51" s="46" t="e">
        <f>$C$51</f>
        <v>#REF!</v>
      </c>
      <c r="Q51" s="46">
        <f>SUMIF($Z$51:$Z$51,"&lt;0")</f>
        <v>0</v>
      </c>
      <c r="R51" s="46">
        <f>SUMIF($Z$51:$Z$51,"&gt;0")</f>
        <v>0</v>
      </c>
      <c r="S51" s="46" t="e">
        <f>IF($B$36,IF($I$51="nca",IF($C$51&gt;=0,0,ABS($C$51)),IF($I$51="ncb",0,IF($I$51="atb",IF($C$51&gt;=0,0,IF($D$50&lt;0,0,IF(ABS($C$51)&gt;$D$50,$D$50,ABS($C$51)))),IF($I$51="bta",0,"err")))),)</f>
        <v>#REF!</v>
      </c>
      <c r="T51" s="46" t="e">
        <f>IF($B$36,IF($I$51="nca",IF($C$51&lt;0,0,ABS($C$51)),IF($I$51="ncb",0,IF($I$51="atb",IF($C$51&lt;=0,0,$C$51),IF($I$51="bta",IF($C$51&lt;=0,0,$V$51+$C$51),"err")))),)</f>
        <v>#REF!</v>
      </c>
      <c r="U51" s="46" t="e">
        <f>IF($B$36,IF($I$51="nca",0,IF($I$51="ncb",IF($C$51&lt;=0,-ABS($C$51),0),IF($I$51="atb",IF($C$51&lt;0,$C$51+$S$51,0),IF($I$51="bta",IF($C$51&lt;=0,$C$51,0),"err")))),)</f>
        <v>#REF!</v>
      </c>
      <c r="V51" s="46" t="e">
        <f>IF($B$36,IF($I$51="nca",0,IF($I$51="ncb",IF($C$51&gt;=0,-ABS($C$51),0),IF($I$51="atb",0,IF($I$51="bta",IF($C$51&lt;=0,0,IF($D$50&gt;0,0,IF(ABS($C$51)&lt;ABS($D$50),-ABS($C$51),$D$50))),"err")))),)</f>
        <v>#REF!</v>
      </c>
      <c r="W51" s="46" t="e">
        <f>IF($C$51&gt;=0,IF($B$36,IF($C$51=0,NA(),$D$51),NA()),NA())</f>
        <v>#REF!</v>
      </c>
      <c r="X51" s="46" t="e">
        <f>IF($C$51&lt;0,IF($B$36,IF($C$51=0,NA(),$D$51),NA()),NA())</f>
        <v>#REF!</v>
      </c>
      <c r="Y51" s="46" t="e">
        <f>$D$40</f>
        <v>#REF!</v>
      </c>
      <c r="Z51" s="46" t="e">
        <f>#REF!</f>
        <v>#REF!</v>
      </c>
      <c r="AA51" s="46">
        <v>0</v>
      </c>
      <c r="AB51" s="46">
        <v>0</v>
      </c>
      <c r="AC51" s="46">
        <f>IF($B$36,,IF($I$51="nca",IF($Z$51&gt;=0,0,ABS($Z$51)),IF($I$51="ncb",0,IF($I$51="atb",IF($Z$51&gt;=0,0,IF($D$50-$AA$51&lt;0,0,IF(ABS($Z$51)&gt;$D$50-$AA$51,$D$50-$AA$51,ABS($Z$51)))),IF($I$51="bta",0,"err")))))</f>
        <v>0</v>
      </c>
      <c r="AD51" s="46">
        <f>IF($B$36,,IF($I$51="nca",0,IF($I$51="ncb",IF($Z$51&gt;=0,-ABS($Z$51),0),IF($I$51="atb",0,IF($I$51="bta",IF($Z$51&lt;=0,0,IF($D$50+$AB$51&gt;0,0,IF(ABS($Z$51)&lt;ABS($D$50+$AB$51),-ABS($Z$51),$D$50+$AB$51))),"err")))))</f>
        <v>0</v>
      </c>
      <c r="AE51" s="46">
        <f>IF($B$36,,IF($I$51="nca",0,IF($I$51="ncb",IF($Z$51&lt;=0,-ABS($Z$51),0),IF($I$51="atb",IF($Z$51&lt;0,$Z$51+$AC$51,0),IF($I$51="bta",IF($Z$51&lt;=0,$Z$51,0),"err")))))</f>
        <v>0</v>
      </c>
      <c r="AF51" s="46">
        <f>IF($B$36,,IF($I$51="nca",IF($Z$51&lt;0,0,ABS($Z$51)),IF($I$51="ncb",0,IF($I$51="atb",IF($Z$51&lt;=0,0,$Z$51),IF($I$51="bta",IF($Z$51&lt;=0,0,$AD$51+$Z$51),"err")))))</f>
        <v>0</v>
      </c>
      <c r="AG51" s="46" t="b">
        <f>IF(SUM(COUNTIFS($AF$51,"&lt;&gt;0",$AF$51,"&lt;&gt;"),COUNTIFS($AC$51,"&lt;&gt;0",$AC$51,"&lt;&gt;"),COUNTIFS($AD$51,"&lt;&gt;0",$AD$51,"&lt;&gt;"),COUNTIFS($AE$51,"&lt;&gt;0",$AE$51,"&lt;&gt;"))=2,TRUE,FALSE)</f>
        <v>0</v>
      </c>
      <c r="AH51" s="46" t="e">
        <f>IF($B$36,NA(),IF($Z$51=0,NA(),IF($AG$51,SUM($AC$51,$AF$51,$AD$51,$AE$51)/2,IF(OR($AF$51&lt;&gt;0,$AD$51&lt;&gt;0),$D$50+$AB$51,$D$50-$AA$51)+$Z$51/2)))</f>
        <v>#N/A</v>
      </c>
    </row>
    <row r="52" spans="1:34">
      <c r="A52" s="46"/>
      <c r="B52" s="46"/>
      <c r="C52" s="46" t="e">
        <f>#REF!</f>
        <v>#REF!</v>
      </c>
      <c r="D52" s="46" t="e">
        <f>SUM($D$51,$C$52)</f>
        <v>#REF!</v>
      </c>
      <c r="E52" s="46" t="e">
        <f>$D$51&gt;=0</f>
        <v>#REF!</v>
      </c>
      <c r="F52" s="46" t="e">
        <f>IF($B$36,AND($D$51&lt;=0,SUM($D$51,$C$52)&gt; 0),AND($D$51&lt;=0,SUM($D$51,$R$52)&gt; 0))</f>
        <v>#REF!</v>
      </c>
      <c r="G52" s="46" t="e">
        <f>IF($B$36,AND($D$51&gt;=0,SUM($D$51,$C$52)&lt; 0),AND($D$51&gt;=0,SUM($D$51,$Q$52)&lt; 0))</f>
        <v>#REF!</v>
      </c>
      <c r="H52" s="46" t="e">
        <f>OR($G$52,$F$52)</f>
        <v>#REF!</v>
      </c>
      <c r="I52" s="46" t="e">
        <f>IF($H$52,IF($G$52,"atb","bta"),IF($E$52,"nca","ncb"))</f>
        <v>#REF!</v>
      </c>
      <c r="J52" s="46" t="e">
        <f>IF($H$52,0,IF($B$36,IF($E$52,IF($C$52&gt;=0,$D$51,$D$51+$C$52),IF($C$52&gt;=0,$D$51+$C$52,$D$51)),IF($E$52,SUM($D$51,$Q$52),SUM($D$51,$R$52))))</f>
        <v>#REF!</v>
      </c>
      <c r="K52" s="46"/>
      <c r="L52" s="46"/>
      <c r="M52" s="46" t="e">
        <f>IF(COUNTIF(#REF!, "= 0")+ COUNTBLANK(#REF!) = 1,NA(),IF($B$36,NA(),IF($C$52&gt;=0,SUM($D$51,$R$52),NA())))</f>
        <v>#REF!</v>
      </c>
      <c r="N52" s="46" t="e">
        <f>IF(COUNTIF(#REF!, "= 0")+ COUNTBLANK(#REF!) = 1,NA(),IF($B$36,NA(),IF($C$52&gt;=0,NA(),SUM($D$51,$Q$52))))</f>
        <v>#REF!</v>
      </c>
      <c r="O52" s="46" t="e">
        <f>$C$52</f>
        <v>#REF!</v>
      </c>
      <c r="P52" s="46" t="e">
        <f>$C$52</f>
        <v>#REF!</v>
      </c>
      <c r="Q52" s="46">
        <f>SUMIF($Z$52:$Z$52,"&lt;0")</f>
        <v>0</v>
      </c>
      <c r="R52" s="46">
        <f>SUMIF($Z$52:$Z$52,"&gt;0")</f>
        <v>0</v>
      </c>
      <c r="S52" s="46" t="e">
        <f>IF($B$36,IF($I$52="nca",IF($C$52&gt;=0,0,ABS($C$52)),IF($I$52="ncb",0,IF($I$52="atb",IF($C$52&gt;=0,0,IF($D$51&lt;0,0,IF(ABS($C$52)&gt;$D$51,$D$51,ABS($C$52)))),IF($I$52="bta",0,"err")))),)</f>
        <v>#REF!</v>
      </c>
      <c r="T52" s="46" t="e">
        <f>IF($B$36,IF($I$52="nca",IF($C$52&lt;0,0,ABS($C$52)),IF($I$52="ncb",0,IF($I$52="atb",IF($C$52&lt;=0,0,$C$52),IF($I$52="bta",IF($C$52&lt;=0,0,$V$52+$C$52),"err")))),)</f>
        <v>#REF!</v>
      </c>
      <c r="U52" s="46" t="e">
        <f>IF($B$36,IF($I$52="nca",0,IF($I$52="ncb",IF($C$52&lt;=0,-ABS($C$52),0),IF($I$52="atb",IF($C$52&lt;0,$C$52+$S$52,0),IF($I$52="bta",IF($C$52&lt;=0,$C$52,0),"err")))),)</f>
        <v>#REF!</v>
      </c>
      <c r="V52" s="46" t="e">
        <f>IF($B$36,IF($I$52="nca",0,IF($I$52="ncb",IF($C$52&gt;=0,-ABS($C$52),0),IF($I$52="atb",0,IF($I$52="bta",IF($C$52&lt;=0,0,IF($D$51&gt;0,0,IF(ABS($C$52)&lt;ABS($D$51),-ABS($C$52),$D$51))),"err")))),)</f>
        <v>#REF!</v>
      </c>
      <c r="W52" s="46" t="e">
        <f>IF($C$52&gt;=0,IF($B$36,IF($C$52=0,NA(),$D$52),NA()),NA())</f>
        <v>#REF!</v>
      </c>
      <c r="X52" s="46" t="e">
        <f>IF($C$52&lt;0,IF($B$36,IF($C$52=0,NA(),$D$52),NA()),NA())</f>
        <v>#REF!</v>
      </c>
      <c r="Y52" s="46" t="e">
        <f>IF(IF($B$36,$C$41 = 0,COUNTIF(#REF!, "= 0")+ COUNTBLANK(#REF!) = 1),$Y$51,NA())</f>
        <v>#REF!</v>
      </c>
      <c r="Z52" s="46" t="e">
        <f>#REF!</f>
        <v>#REF!</v>
      </c>
      <c r="AA52" s="46">
        <v>0</v>
      </c>
      <c r="AB52" s="46">
        <v>0</v>
      </c>
      <c r="AC52" s="46">
        <f>IF($B$36,,IF($I$52="nca",IF($Z$52&gt;=0,0,ABS($Z$52)),IF($I$52="ncb",0,IF($I$52="atb",IF($Z$52&gt;=0,0,IF($D$51-$AA$52&lt;0,0,IF(ABS($Z$52)&gt;$D$51-$AA$52,$D$51-$AA$52,ABS($Z$52)))),IF($I$52="bta",0,"err")))))</f>
        <v>0</v>
      </c>
      <c r="AD52" s="46">
        <f>IF($B$36,,IF($I$52="nca",0,IF($I$52="ncb",IF($Z$52&gt;=0,-ABS($Z$52),0),IF($I$52="atb",0,IF($I$52="bta",IF($Z$52&lt;=0,0,IF($D$51+$AB$52&gt;0,0,IF(ABS($Z$52)&lt;ABS($D$51+$AB$52),-ABS($Z$52),$D$51+$AB$52))),"err")))))</f>
        <v>0</v>
      </c>
      <c r="AE52" s="46">
        <f>IF($B$36,,IF($I$52="nca",0,IF($I$52="ncb",IF($Z$52&lt;=0,-ABS($Z$52),0),IF($I$52="atb",IF($Z$52&lt;0,$Z$52+$AC$52,0),IF($I$52="bta",IF($Z$52&lt;=0,$Z$52,0),"err")))))</f>
        <v>0</v>
      </c>
      <c r="AF52" s="46">
        <f>IF($B$36,,IF($I$52="nca",IF($Z$52&lt;0,0,ABS($Z$52)),IF($I$52="ncb",0,IF($I$52="atb",IF($Z$52&lt;=0,0,$Z$52),IF($I$52="bta",IF($Z$52&lt;=0,0,$AD$52+$Z$52),"err")))))</f>
        <v>0</v>
      </c>
      <c r="AG52" s="46" t="b">
        <f>IF(SUM(COUNTIFS($AF$52,"&lt;&gt;0",$AF$52,"&lt;&gt;"),COUNTIFS($AC$52,"&lt;&gt;0",$AC$52,"&lt;&gt;"),COUNTIFS($AD$52,"&lt;&gt;0",$AD$52,"&lt;&gt;"),COUNTIFS($AE$52,"&lt;&gt;0",$AE$52,"&lt;&gt;"))=2,TRUE,FALSE)</f>
        <v>0</v>
      </c>
      <c r="AH52" s="46" t="e">
        <f>IF($B$36,NA(),IF($Z$52=0,NA(),IF($AG$52,SUM($AC$52,$AF$52,$AD$52,$AE$52)/2,IF(OR($AF$52&lt;&gt;0,$AD$52&lt;&gt;0),$D$51+$AB$52,$D$51-$AA$52)+$Z$52/2)))</f>
        <v>#N/A</v>
      </c>
    </row>
    <row r="53" spans="1:34">
      <c r="A53" s="46"/>
      <c r="B53" s="46"/>
      <c r="C53" s="46" t="e">
        <f>#REF!</f>
        <v>#REF!</v>
      </c>
      <c r="D53" s="46" t="e">
        <f>$C$53</f>
        <v>#REF!</v>
      </c>
      <c r="E53" s="46"/>
      <c r="F53" s="46"/>
      <c r="G53" s="46"/>
      <c r="H53" s="46"/>
      <c r="I53" s="46"/>
      <c r="J53" s="46"/>
      <c r="K53" s="46" t="e">
        <f>IF(COUNTIF(#REF!, "= 0")+ COUNTBLANK(#REF!) = 1,NA(),IF($B$35,$D$53,NA()))</f>
        <v>#REF!</v>
      </c>
      <c r="L53" s="46" t="e">
        <f>$D$53</f>
        <v>#REF!</v>
      </c>
      <c r="M53" s="46" t="e">
        <f>IF(COUNTIF(#REF!, "= 0")+ COUNTBLANK(#REF!) = 1,NA(),IF($B$35,NA(),IF($C$53&gt;= 0,$R$53,NA())))</f>
        <v>#REF!</v>
      </c>
      <c r="N53" s="46" t="e">
        <f>IF(COUNTIF(#REF!, "= 0")+ COUNTBLANK(#REF!) = 1,NA(),IF($B$35,NA(),IF($C$53&lt;= 0,$Q$53,NA())))</f>
        <v>#REF!</v>
      </c>
      <c r="O53" s="46" t="e">
        <f>$C$53</f>
        <v>#REF!</v>
      </c>
      <c r="P53" s="46" t="e">
        <f>$C$53</f>
        <v>#REF!</v>
      </c>
      <c r="Q53" s="46">
        <f>SUMIF($Z$53:$Z$53,"&lt;0")</f>
        <v>0</v>
      </c>
      <c r="R53" s="46">
        <f>SUMIF($Z$53:$Z$53,"&gt;0")</f>
        <v>0</v>
      </c>
      <c r="S53" s="46"/>
      <c r="T53" s="46"/>
      <c r="U53" s="46"/>
      <c r="V53" s="46"/>
      <c r="W53" s="46"/>
      <c r="X53" s="46"/>
      <c r="Y53" s="46" t="e">
        <f>$D$41</f>
        <v>#REF!</v>
      </c>
      <c r="Z53" s="46" t="e">
        <f>#REF!</f>
        <v>#REF!</v>
      </c>
      <c r="AA53" s="46">
        <v>0</v>
      </c>
      <c r="AB53" s="46">
        <v>0</v>
      </c>
      <c r="AC53" s="46"/>
      <c r="AD53" s="46"/>
      <c r="AE53" s="46">
        <f>IF($B$35,,IF($Z$53 &lt; 0,$Z$53,))</f>
        <v>0</v>
      </c>
      <c r="AF53" s="46">
        <f>IF($B$35,,IF($Z$53 &gt; 0,$Z$53,))</f>
        <v>0</v>
      </c>
      <c r="AG53" s="46"/>
      <c r="AH53" s="46" t="e">
        <f>IF($B$35,NA(),IF($Z$53 = 0,NA(),IF($Z$53 &gt; 0,$AB$53 + $Z$53/2,-$AA$53 + $Z$53/2)))</f>
        <v>#N/A</v>
      </c>
    </row>
    <row r="54" spans="1:34">
      <c r="A54" s="46"/>
      <c r="B54" s="46"/>
      <c r="C54" s="46" t="e">
        <f>#REF!</f>
        <v>#REF!</v>
      </c>
      <c r="D54" s="46" t="e">
        <f>SUM($D$53,$C$54)</f>
        <v>#REF!</v>
      </c>
      <c r="E54" s="46" t="e">
        <f>$D$53&gt;=0</f>
        <v>#REF!</v>
      </c>
      <c r="F54" s="46" t="e">
        <f>IF($B$36,AND($D$53&lt;=0,SUM($D$53,$C$54)&gt; 0),AND($D$53&lt;=0,SUM($D$53,$R$54)&gt; 0))</f>
        <v>#REF!</v>
      </c>
      <c r="G54" s="46" t="e">
        <f>IF($B$36,AND($D$53&gt;=0,SUM($D$53,$C$54)&lt; 0),AND($D$53&gt;=0,SUM($D$53,$Q$54)&lt; 0))</f>
        <v>#REF!</v>
      </c>
      <c r="H54" s="46" t="e">
        <f>OR($G$54,$F$54)</f>
        <v>#REF!</v>
      </c>
      <c r="I54" s="46" t="e">
        <f>IF($H$54,IF($G$54,"atb","bta"),IF($E$54,"nca","ncb"))</f>
        <v>#REF!</v>
      </c>
      <c r="J54" s="46" t="e">
        <f>IF($H$54,0,IF($B$36,IF($E$54,IF($C$54&gt;=0,$D$53,$D$53+$C$54),IF($C$54&gt;=0,$D$53+$C$54,$D$53)),IF($E$54,SUM($D$53,$Q$54),SUM($D$53,$R$54))))</f>
        <v>#REF!</v>
      </c>
      <c r="K54" s="46"/>
      <c r="L54" s="46"/>
      <c r="M54" s="46" t="e">
        <f>IF(COUNTIF(#REF!, "= 0")+ COUNTBLANK(#REF!) = 1,NA(),IF($B$36,NA(),IF($C$54&gt;=0,SUM($D$53,$R$54),NA())))</f>
        <v>#REF!</v>
      </c>
      <c r="N54" s="46" t="e">
        <f>IF(COUNTIF(#REF!, "= 0")+ COUNTBLANK(#REF!) = 1,NA(),IF($B$36,NA(),IF($C$54&gt;=0,NA(),SUM($D$53,$Q$54))))</f>
        <v>#REF!</v>
      </c>
      <c r="O54" s="46" t="e">
        <f>$C$54</f>
        <v>#REF!</v>
      </c>
      <c r="P54" s="46" t="e">
        <f>$C$54</f>
        <v>#REF!</v>
      </c>
      <c r="Q54" s="46">
        <f>SUMIF($Z$54:$Z$54,"&lt;0")</f>
        <v>0</v>
      </c>
      <c r="R54" s="46">
        <f>SUMIF($Z$54:$Z$54,"&gt;0")</f>
        <v>0</v>
      </c>
      <c r="S54" s="46" t="e">
        <f>IF($B$36,IF($I$54="nca",IF($C$54&gt;=0,0,ABS($C$54)),IF($I$54="ncb",0,IF($I$54="atb",IF($C$54&gt;=0,0,IF($D$53&lt;0,0,IF(ABS($C$54)&gt;$D$53,$D$53,ABS($C$54)))),IF($I$54="bta",0,"err")))),)</f>
        <v>#REF!</v>
      </c>
      <c r="T54" s="46" t="e">
        <f>IF($B$36,IF($I$54="nca",IF($C$54&lt;0,0,ABS($C$54)),IF($I$54="ncb",0,IF($I$54="atb",IF($C$54&lt;=0,0,$C$54),IF($I$54="bta",IF($C$54&lt;=0,0,$V$54+$C$54),"err")))),)</f>
        <v>#REF!</v>
      </c>
      <c r="U54" s="46" t="e">
        <f>IF($B$36,IF($I$54="nca",0,IF($I$54="ncb",IF($C$54&lt;=0,-ABS($C$54),0),IF($I$54="atb",IF($C$54&lt;0,$C$54+$S$54,0),IF($I$54="bta",IF($C$54&lt;=0,$C$54,0),"err")))),)</f>
        <v>#REF!</v>
      </c>
      <c r="V54" s="46" t="e">
        <f>IF($B$36,IF($I$54="nca",0,IF($I$54="ncb",IF($C$54&gt;=0,-ABS($C$54),0),IF($I$54="atb",0,IF($I$54="bta",IF($C$54&lt;=0,0,IF($D$53&gt;0,0,IF(ABS($C$54)&lt;ABS($D$53),-ABS($C$54),$D$53))),"err")))),)</f>
        <v>#REF!</v>
      </c>
      <c r="W54" s="46" t="e">
        <f>IF($C$54&gt;=0,IF($B$36,IF($C$54=0,NA(),$D$54),NA()),NA())</f>
        <v>#REF!</v>
      </c>
      <c r="X54" s="46" t="e">
        <f>IF($C$54&lt;0,IF($B$36,IF($C$54=0,NA(),$D$54),NA()),NA())</f>
        <v>#REF!</v>
      </c>
      <c r="Y54" s="46" t="e">
        <f>$D$41</f>
        <v>#REF!</v>
      </c>
      <c r="Z54" s="46" t="e">
        <f>#REF!</f>
        <v>#REF!</v>
      </c>
      <c r="AA54" s="46">
        <v>0</v>
      </c>
      <c r="AB54" s="46">
        <v>0</v>
      </c>
      <c r="AC54" s="46">
        <f>IF($B$36,,IF($I$54="nca",IF($Z$54&gt;=0,0,ABS($Z$54)),IF($I$54="ncb",0,IF($I$54="atb",IF($Z$54&gt;=0,0,IF($D$53-$AA$54&lt;0,0,IF(ABS($Z$54)&gt;$D$53-$AA$54,$D$53-$AA$54,ABS($Z$54)))),IF($I$54="bta",0,"err")))))</f>
        <v>0</v>
      </c>
      <c r="AD54" s="46">
        <f>IF($B$36,,IF($I$54="nca",0,IF($I$54="ncb",IF($Z$54&gt;=0,-ABS($Z$54),0),IF($I$54="atb",0,IF($I$54="bta",IF($Z$54&lt;=0,0,IF($D$53+$AB$54&gt;0,0,IF(ABS($Z$54)&lt;ABS($D$53+$AB$54),-ABS($Z$54),$D$53+$AB$54))),"err")))))</f>
        <v>0</v>
      </c>
      <c r="AE54" s="46">
        <f>IF($B$36,,IF($I$54="nca",0,IF($I$54="ncb",IF($Z$54&lt;=0,-ABS($Z$54),0),IF($I$54="atb",IF($Z$54&lt;0,$Z$54+$AC$54,0),IF($I$54="bta",IF($Z$54&lt;=0,$Z$54,0),"err")))))</f>
        <v>0</v>
      </c>
      <c r="AF54" s="46">
        <f>IF($B$36,,IF($I$54="nca",IF($Z$54&lt;0,0,ABS($Z$54)),IF($I$54="ncb",0,IF($I$54="atb",IF($Z$54&lt;=0,0,$Z$54),IF($I$54="bta",IF($Z$54&lt;=0,0,$AD$54+$Z$54),"err")))))</f>
        <v>0</v>
      </c>
      <c r="AG54" s="46" t="b">
        <f>IF(SUM(COUNTIFS($AF$54,"&lt;&gt;0",$AF$54,"&lt;&gt;"),COUNTIFS($AC$54,"&lt;&gt;0",$AC$54,"&lt;&gt;"),COUNTIFS($AD$54,"&lt;&gt;0",$AD$54,"&lt;&gt;"),COUNTIFS($AE$54,"&lt;&gt;0",$AE$54,"&lt;&gt;"))=2,TRUE,FALSE)</f>
        <v>0</v>
      </c>
      <c r="AH54" s="46" t="e">
        <f>IF($B$36,NA(),IF($Z$54=0,NA(),IF($AG$54,SUM($AC$54,$AF$54,$AD$54,$AE$54)/2,IF(OR($AF$54&lt;&gt;0,$AD$54&lt;&gt;0),$D$53+$AB$54,$D$53-$AA$54)+$Z$54/2)))</f>
        <v>#N/A</v>
      </c>
    </row>
    <row r="55" spans="1:34">
      <c r="A55" s="46"/>
      <c r="B55" s="46"/>
      <c r="C55" s="46" t="e">
        <f>#REF!</f>
        <v>#REF!</v>
      </c>
      <c r="D55" s="46" t="e">
        <f>SUM($D$54,$C$55)</f>
        <v>#REF!</v>
      </c>
      <c r="E55" s="46" t="e">
        <f>$D$54&gt;=0</f>
        <v>#REF!</v>
      </c>
      <c r="F55" s="46" t="e">
        <f>IF($B$36,AND($D$54&lt;=0,SUM($D$54,$C$55)&gt; 0),AND($D$54&lt;=0,SUM($D$54,$R$55)&gt; 0))</f>
        <v>#REF!</v>
      </c>
      <c r="G55" s="46" t="e">
        <f>IF($B$36,AND($D$54&gt;=0,SUM($D$54,$C$55)&lt; 0),AND($D$54&gt;=0,SUM($D$54,$Q$55)&lt; 0))</f>
        <v>#REF!</v>
      </c>
      <c r="H55" s="46" t="e">
        <f>OR($G$55,$F$55)</f>
        <v>#REF!</v>
      </c>
      <c r="I55" s="46" t="e">
        <f>IF($H$55,IF($G$55,"atb","bta"),IF($E$55,"nca","ncb"))</f>
        <v>#REF!</v>
      </c>
      <c r="J55" s="46" t="e">
        <f>IF($H$55,0,IF($B$36,IF($E$55,IF($C$55&gt;=0,$D$54,$D$54+$C$55),IF($C$55&gt;=0,$D$54+$C$55,$D$54)),IF($E$55,SUM($D$54,$Q$55),SUM($D$54,$R$55))))</f>
        <v>#REF!</v>
      </c>
      <c r="K55" s="46"/>
      <c r="L55" s="46"/>
      <c r="M55" s="46" t="e">
        <f>IF(COUNTIF(#REF!, "= 0")+ COUNTBLANK(#REF!) = 1,NA(),IF($B$36,NA(),IF($C$55&gt;=0,SUM($D$54,$R$55),NA())))</f>
        <v>#REF!</v>
      </c>
      <c r="N55" s="46" t="e">
        <f>IF(COUNTIF(#REF!, "= 0")+ COUNTBLANK(#REF!) = 1,NA(),IF($B$36,NA(),IF($C$55&gt;=0,NA(),SUM($D$54,$Q$55))))</f>
        <v>#REF!</v>
      </c>
      <c r="O55" s="46" t="e">
        <f>$C$55</f>
        <v>#REF!</v>
      </c>
      <c r="P55" s="46" t="e">
        <f>$C$55</f>
        <v>#REF!</v>
      </c>
      <c r="Q55" s="46">
        <f>SUMIF($Z$55:$Z$55,"&lt;0")</f>
        <v>0</v>
      </c>
      <c r="R55" s="46">
        <f>SUMIF($Z$55:$Z$55,"&gt;0")</f>
        <v>0</v>
      </c>
      <c r="S55" s="46" t="e">
        <f>IF($B$36,IF($I$55="nca",IF($C$55&gt;=0,0,ABS($C$55)),IF($I$55="ncb",0,IF($I$55="atb",IF($C$55&gt;=0,0,IF($D$54&lt;0,0,IF(ABS($C$55)&gt;$D$54,$D$54,ABS($C$55)))),IF($I$55="bta",0,"err")))),)</f>
        <v>#REF!</v>
      </c>
      <c r="T55" s="46" t="e">
        <f>IF($B$36,IF($I$55="nca",IF($C$55&lt;0,0,ABS($C$55)),IF($I$55="ncb",0,IF($I$55="atb",IF($C$55&lt;=0,0,$C$55),IF($I$55="bta",IF($C$55&lt;=0,0,$V$55+$C$55),"err")))),)</f>
        <v>#REF!</v>
      </c>
      <c r="U55" s="46" t="e">
        <f>IF($B$36,IF($I$55="nca",0,IF($I$55="ncb",IF($C$55&lt;=0,-ABS($C$55),0),IF($I$55="atb",IF($C$55&lt;0,$C$55+$S$55,0),IF($I$55="bta",IF($C$55&lt;=0,$C$55,0),"err")))),)</f>
        <v>#REF!</v>
      </c>
      <c r="V55" s="46" t="e">
        <f>IF($B$36,IF($I$55="nca",0,IF($I$55="ncb",IF($C$55&gt;=0,-ABS($C$55),0),IF($I$55="atb",0,IF($I$55="bta",IF($C$55&lt;=0,0,IF($D$54&gt;0,0,IF(ABS($C$55)&lt;ABS($D$54),-ABS($C$55),$D$54))),"err")))),)</f>
        <v>#REF!</v>
      </c>
      <c r="W55" s="46" t="e">
        <f>IF($C$55&gt;=0,IF($B$36,IF($C$55=0,NA(),$D$55),NA()),NA())</f>
        <v>#REF!</v>
      </c>
      <c r="X55" s="46" t="e">
        <f>IF($C$55&lt;0,IF($B$36,IF($C$55=0,NA(),$D$55),NA()),NA())</f>
        <v>#REF!</v>
      </c>
      <c r="Y55" s="46" t="e">
        <f>IF(IF($B$36,$C$42 = 0,COUNTIF(#REF!, "= 0")+ COUNTBLANK(#REF!) = 1),$Y$54,NA())</f>
        <v>#REF!</v>
      </c>
      <c r="Z55" s="46" t="e">
        <f>#REF!</f>
        <v>#REF!</v>
      </c>
      <c r="AA55" s="46">
        <v>0</v>
      </c>
      <c r="AB55" s="46">
        <v>0</v>
      </c>
      <c r="AC55" s="46">
        <f>IF($B$36,,IF($I$55="nca",IF($Z$55&gt;=0,0,ABS($Z$55)),IF($I$55="ncb",0,IF($I$55="atb",IF($Z$55&gt;=0,0,IF($D$54-$AA$55&lt;0,0,IF(ABS($Z$55)&gt;$D$54-$AA$55,$D$54-$AA$55,ABS($Z$55)))),IF($I$55="bta",0,"err")))))</f>
        <v>0</v>
      </c>
      <c r="AD55" s="46">
        <f>IF($B$36,,IF($I$55="nca",0,IF($I$55="ncb",IF($Z$55&gt;=0,-ABS($Z$55),0),IF($I$55="atb",0,IF($I$55="bta",IF($Z$55&lt;=0,0,IF($D$54+$AB$55&gt;0,0,IF(ABS($Z$55)&lt;ABS($D$54+$AB$55),-ABS($Z$55),$D$54+$AB$55))),"err")))))</f>
        <v>0</v>
      </c>
      <c r="AE55" s="46">
        <f>IF($B$36,,IF($I$55="nca",0,IF($I$55="ncb",IF($Z$55&lt;=0,-ABS($Z$55),0),IF($I$55="atb",IF($Z$55&lt;0,$Z$55+$AC$55,0),IF($I$55="bta",IF($Z$55&lt;=0,$Z$55,0),"err")))))</f>
        <v>0</v>
      </c>
      <c r="AF55" s="46">
        <f>IF($B$36,,IF($I$55="nca",IF($Z$55&lt;0,0,ABS($Z$55)),IF($I$55="ncb",0,IF($I$55="atb",IF($Z$55&lt;=0,0,$Z$55),IF($I$55="bta",IF($Z$55&lt;=0,0,$AD$55+$Z$55),"err")))))</f>
        <v>0</v>
      </c>
      <c r="AG55" s="46" t="b">
        <f>IF(SUM(COUNTIFS($AF$55,"&lt;&gt;0",$AF$55,"&lt;&gt;"),COUNTIFS($AC$55,"&lt;&gt;0",$AC$55,"&lt;&gt;"),COUNTIFS($AD$55,"&lt;&gt;0",$AD$55,"&lt;&gt;"),COUNTIFS($AE$55,"&lt;&gt;0",$AE$55,"&lt;&gt;"))=2,TRUE,FALSE)</f>
        <v>0</v>
      </c>
      <c r="AH55" s="46" t="e">
        <f>IF($B$36,NA(),IF($Z$55=0,NA(),IF($AG$55,SUM($AC$55,$AF$55,$AD$55,$AE$55)/2,IF(OR($AF$55&lt;&gt;0,$AD$55&lt;&gt;0),$D$54+$AB$55,$D$54-$AA$55)+$Z$55/2)))</f>
        <v>#N/A</v>
      </c>
    </row>
    <row r="56" spans="1:34">
      <c r="A56" s="46"/>
      <c r="B56" s="46"/>
      <c r="C56" s="46" t="e">
        <f>#REF!</f>
        <v>#REF!</v>
      </c>
      <c r="D56" s="46" t="e">
        <f>SUM($D$55,$C$56)</f>
        <v>#REF!</v>
      </c>
      <c r="E56" s="46" t="e">
        <f>$D$55&gt;=0</f>
        <v>#REF!</v>
      </c>
      <c r="F56" s="46" t="e">
        <f>IF($B$36,AND($D$55&lt;=0,SUM($D$55,$C$56)&gt; 0),AND($D$55&lt;=0,SUM($D$55,$R$56)&gt; 0))</f>
        <v>#REF!</v>
      </c>
      <c r="G56" s="46" t="e">
        <f>IF($B$36,AND($D$55&gt;=0,SUM($D$55,$C$56)&lt; 0),AND($D$55&gt;=0,SUM($D$55,$Q$56)&lt; 0))</f>
        <v>#REF!</v>
      </c>
      <c r="H56" s="46" t="e">
        <f>OR($G$56,$F$56)</f>
        <v>#REF!</v>
      </c>
      <c r="I56" s="46" t="e">
        <f>IF($H$56,IF($G$56,"atb","bta"),IF($E$56,"nca","ncb"))</f>
        <v>#REF!</v>
      </c>
      <c r="J56" s="46" t="e">
        <f>IF($H$56,0,IF($B$36,IF($E$56,IF($C$56&gt;=0,$D$55,$D$55+$C$56),IF($C$56&gt;=0,$D$55+$C$56,$D$55)),IF($E$56,SUM($D$55,$Q$56),SUM($D$55,$R$56))))</f>
        <v>#REF!</v>
      </c>
      <c r="K56" s="46"/>
      <c r="L56" s="46"/>
      <c r="M56" s="46" t="e">
        <f>IF(COUNTIF(#REF!, "= 0")+ COUNTBLANK(#REF!) = 1,NA(),IF($B$36,NA(),IF($C$56&gt;=0,SUM($D$55,$R$56),NA())))</f>
        <v>#REF!</v>
      </c>
      <c r="N56" s="46" t="e">
        <f>IF(COUNTIF(#REF!, "= 0")+ COUNTBLANK(#REF!) = 1,NA(),IF($B$36,NA(),IF($C$56&gt;=0,NA(),SUM($D$55,$Q$56))))</f>
        <v>#REF!</v>
      </c>
      <c r="O56" s="46" t="e">
        <f>$C$56</f>
        <v>#REF!</v>
      </c>
      <c r="P56" s="46" t="e">
        <f>$C$56</f>
        <v>#REF!</v>
      </c>
      <c r="Q56" s="46">
        <f>SUMIF($Z$56:$Z$56,"&lt;0")</f>
        <v>0</v>
      </c>
      <c r="R56" s="46">
        <f>SUMIF($Z$56:$Z$56,"&gt;0")</f>
        <v>0</v>
      </c>
      <c r="S56" s="46" t="e">
        <f>IF($B$36,IF($I$56="nca",IF($C$56&gt;=0,0,ABS($C$56)),IF($I$56="ncb",0,IF($I$56="atb",IF($C$56&gt;=0,0,IF($D$55&lt;0,0,IF(ABS($C$56)&gt;$D$55,$D$55,ABS($C$56)))),IF($I$56="bta",0,"err")))),)</f>
        <v>#REF!</v>
      </c>
      <c r="T56" s="46" t="e">
        <f>IF($B$36,IF($I$56="nca",IF($C$56&lt;0,0,ABS($C$56)),IF($I$56="ncb",0,IF($I$56="atb",IF($C$56&lt;=0,0,$C$56),IF($I$56="bta",IF($C$56&lt;=0,0,$V$56+$C$56),"err")))),)</f>
        <v>#REF!</v>
      </c>
      <c r="U56" s="46" t="e">
        <f>IF($B$36,IF($I$56="nca",0,IF($I$56="ncb",IF($C$56&lt;=0,-ABS($C$56),0),IF($I$56="atb",IF($C$56&lt;0,$C$56+$S$56,0),IF($I$56="bta",IF($C$56&lt;=0,$C$56,0),"err")))),)</f>
        <v>#REF!</v>
      </c>
      <c r="V56" s="46" t="e">
        <f>IF($B$36,IF($I$56="nca",0,IF($I$56="ncb",IF($C$56&gt;=0,-ABS($C$56),0),IF($I$56="atb",0,IF($I$56="bta",IF($C$56&lt;=0,0,IF($D$55&gt;0,0,IF(ABS($C$56)&lt;ABS($D$55),-ABS($C$56),$D$55))),"err")))),)</f>
        <v>#REF!</v>
      </c>
      <c r="W56" s="46" t="e">
        <f>IF($C$56&gt;=0,IF($B$36,IF($C$56=0,NA(),$D$56),NA()),NA())</f>
        <v>#REF!</v>
      </c>
      <c r="X56" s="46" t="e">
        <f>IF($C$56&lt;0,IF($B$36,IF($C$56=0,NA(),$D$56),NA()),NA())</f>
        <v>#REF!</v>
      </c>
      <c r="Y56" s="46" t="e">
        <f>$D$42</f>
        <v>#REF!</v>
      </c>
      <c r="Z56" s="46" t="e">
        <f>#REF!</f>
        <v>#REF!</v>
      </c>
      <c r="AA56" s="46">
        <v>0</v>
      </c>
      <c r="AB56" s="46">
        <v>0</v>
      </c>
      <c r="AC56" s="46">
        <f>IF($B$36,,IF($I$56="nca",IF($Z$56&gt;=0,0,ABS($Z$56)),IF($I$56="ncb",0,IF($I$56="atb",IF($Z$56&gt;=0,0,IF($D$55-$AA$56&lt;0,0,IF(ABS($Z$56)&gt;$D$55-$AA$56,$D$55-$AA$56,ABS($Z$56)))),IF($I$56="bta",0,"err")))))</f>
        <v>0</v>
      </c>
      <c r="AD56" s="46">
        <f>IF($B$36,,IF($I$56="nca",0,IF($I$56="ncb",IF($Z$56&gt;=0,-ABS($Z$56),0),IF($I$56="atb",0,IF($I$56="bta",IF($Z$56&lt;=0,0,IF($D$55+$AB$56&gt;0,0,IF(ABS($Z$56)&lt;ABS($D$55+$AB$56),-ABS($Z$56),$D$55+$AB$56))),"err")))))</f>
        <v>0</v>
      </c>
      <c r="AE56" s="46">
        <f>IF($B$36,,IF($I$56="nca",0,IF($I$56="ncb",IF($Z$56&lt;=0,-ABS($Z$56),0),IF($I$56="atb",IF($Z$56&lt;0,$Z$56+$AC$56,0),IF($I$56="bta",IF($Z$56&lt;=0,$Z$56,0),"err")))))</f>
        <v>0</v>
      </c>
      <c r="AF56" s="46">
        <f>IF($B$36,,IF($I$56="nca",IF($Z$56&lt;0,0,ABS($Z$56)),IF($I$56="ncb",0,IF($I$56="atb",IF($Z$56&lt;=0,0,$Z$56),IF($I$56="bta",IF($Z$56&lt;=0,0,$AD$56+$Z$56),"err")))))</f>
        <v>0</v>
      </c>
      <c r="AG56" s="46" t="b">
        <f>IF(SUM(COUNTIFS($AF$56,"&lt;&gt;0",$AF$56,"&lt;&gt;"),COUNTIFS($AC$56,"&lt;&gt;0",$AC$56,"&lt;&gt;"),COUNTIFS($AD$56,"&lt;&gt;0",$AD$56,"&lt;&gt;"),COUNTIFS($AE$56,"&lt;&gt;0",$AE$56,"&lt;&gt;"))=2,TRUE,FALSE)</f>
        <v>0</v>
      </c>
      <c r="AH56" s="46" t="e">
        <f>IF($B$36,NA(),IF($Z$56=0,NA(),IF($AG$56,SUM($AC$56,$AF$56,$AD$56,$AE$56)/2,IF(OR($AF$56&lt;&gt;0,$AD$56&lt;&gt;0),$D$55+$AB$56,$D$55-$AA$56)+$Z$56/2)))</f>
        <v>#N/A</v>
      </c>
    </row>
    <row r="57" spans="1:34">
      <c r="A57" s="46"/>
      <c r="B57" s="46"/>
      <c r="C57" s="46" t="e">
        <f>#REF!</f>
        <v>#REF!</v>
      </c>
      <c r="D57" s="46" t="e">
        <f>SUM($D$56,$C$57)</f>
        <v>#REF!</v>
      </c>
      <c r="E57" s="46" t="e">
        <f>$D$56&gt;=0</f>
        <v>#REF!</v>
      </c>
      <c r="F57" s="46" t="e">
        <f>IF($B$36,AND($D$56&lt;=0,SUM($D$56,$C$57)&gt; 0),AND($D$56&lt;=0,SUM($D$56,$R$57)&gt; 0))</f>
        <v>#REF!</v>
      </c>
      <c r="G57" s="46" t="e">
        <f>IF($B$36,AND($D$56&gt;=0,SUM($D$56,$C$57)&lt; 0),AND($D$56&gt;=0,SUM($D$56,$Q$57)&lt; 0))</f>
        <v>#REF!</v>
      </c>
      <c r="H57" s="46" t="e">
        <f>OR($G$57,$F$57)</f>
        <v>#REF!</v>
      </c>
      <c r="I57" s="46" t="e">
        <f>IF($H$57,IF($G$57,"atb","bta"),IF($E$57,"nca","ncb"))</f>
        <v>#REF!</v>
      </c>
      <c r="J57" s="46" t="e">
        <f>IF($H$57,0,IF($B$36,IF($E$57,IF($C$57&gt;=0,$D$56,$D$56+$C$57),IF($C$57&gt;=0,$D$56+$C$57,$D$56)),IF($E$57,SUM($D$56,$Q$57),SUM($D$56,$R$57))))</f>
        <v>#REF!</v>
      </c>
      <c r="K57" s="46"/>
      <c r="L57" s="46"/>
      <c r="M57" s="46" t="e">
        <f>IF(COUNTIF(#REF!, "= 0")+ COUNTBLANK(#REF!) = 1,NA(),IF($B$36,NA(),IF($C$57&gt;=0,SUM($D$56,$R$57),NA())))</f>
        <v>#REF!</v>
      </c>
      <c r="N57" s="46" t="e">
        <f>IF(COUNTIF(#REF!, "= 0")+ COUNTBLANK(#REF!) = 1,NA(),IF($B$36,NA(),IF($C$57&gt;=0,NA(),SUM($D$56,$Q$57))))</f>
        <v>#REF!</v>
      </c>
      <c r="O57" s="46" t="e">
        <f>$C$57</f>
        <v>#REF!</v>
      </c>
      <c r="P57" s="46" t="e">
        <f>$C$57</f>
        <v>#REF!</v>
      </c>
      <c r="Q57" s="46">
        <f>SUMIF($Z$57:$Z$57,"&lt;0")</f>
        <v>0</v>
      </c>
      <c r="R57" s="46">
        <f>SUMIF($Z$57:$Z$57,"&gt;0")</f>
        <v>0</v>
      </c>
      <c r="S57" s="46" t="e">
        <f>IF($B$36,IF($I$57="nca",IF($C$57&gt;=0,0,ABS($C$57)),IF($I$57="ncb",0,IF($I$57="atb",IF($C$57&gt;=0,0,IF($D$56&lt;0,0,IF(ABS($C$57)&gt;$D$56,$D$56,ABS($C$57)))),IF($I$57="bta",0,"err")))),)</f>
        <v>#REF!</v>
      </c>
      <c r="T57" s="46" t="e">
        <f>IF($B$36,IF($I$57="nca",IF($C$57&lt;0,0,ABS($C$57)),IF($I$57="ncb",0,IF($I$57="atb",IF($C$57&lt;=0,0,$C$57),IF($I$57="bta",IF($C$57&lt;=0,0,$V$57+$C$57),"err")))),)</f>
        <v>#REF!</v>
      </c>
      <c r="U57" s="46" t="e">
        <f>IF($B$36,IF($I$57="nca",0,IF($I$57="ncb",IF($C$57&lt;=0,-ABS($C$57),0),IF($I$57="atb",IF($C$57&lt;0,$C$57+$S$57,0),IF($I$57="bta",IF($C$57&lt;=0,$C$57,0),"err")))),)</f>
        <v>#REF!</v>
      </c>
      <c r="V57" s="46" t="e">
        <f>IF($B$36,IF($I$57="nca",0,IF($I$57="ncb",IF($C$57&gt;=0,-ABS($C$57),0),IF($I$57="atb",0,IF($I$57="bta",IF($C$57&lt;=0,0,IF($D$56&gt;0,0,IF(ABS($C$57)&lt;ABS($D$56),-ABS($C$57),$D$56))),"err")))),)</f>
        <v>#REF!</v>
      </c>
      <c r="W57" s="46" t="e">
        <f>IF($C$57&gt;=0,IF($B$36,IF($C$57=0,NA(),$D$57),NA()),NA())</f>
        <v>#REF!</v>
      </c>
      <c r="X57" s="46" t="e">
        <f>IF($C$57&lt;0,IF($B$36,IF($C$57=0,NA(),$D$57),NA()),NA())</f>
        <v>#REF!</v>
      </c>
      <c r="Y57" s="46" t="e">
        <f>$D$42</f>
        <v>#REF!</v>
      </c>
      <c r="Z57" s="46" t="e">
        <f>#REF!</f>
        <v>#REF!</v>
      </c>
      <c r="AA57" s="46">
        <v>0</v>
      </c>
      <c r="AB57" s="46">
        <v>0</v>
      </c>
      <c r="AC57" s="46">
        <f>IF($B$36,,IF($I$57="nca",IF($Z$57&gt;=0,0,ABS($Z$57)),IF($I$57="ncb",0,IF($I$57="atb",IF($Z$57&gt;=0,0,IF($D$56-$AA$57&lt;0,0,IF(ABS($Z$57)&gt;$D$56-$AA$57,$D$56-$AA$57,ABS($Z$57)))),IF($I$57="bta",0,"err")))))</f>
        <v>0</v>
      </c>
      <c r="AD57" s="46">
        <f>IF($B$36,,IF($I$57="nca",0,IF($I$57="ncb",IF($Z$57&gt;=0,-ABS($Z$57),0),IF($I$57="atb",0,IF($I$57="bta",IF($Z$57&lt;=0,0,IF($D$56+$AB$57&gt;0,0,IF(ABS($Z$57)&lt;ABS($D$56+$AB$57),-ABS($Z$57),$D$56+$AB$57))),"err")))))</f>
        <v>0</v>
      </c>
      <c r="AE57" s="46">
        <f>IF($B$36,,IF($I$57="nca",0,IF($I$57="ncb",IF($Z$57&lt;=0,-ABS($Z$57),0),IF($I$57="atb",IF($Z$57&lt;0,$Z$57+$AC$57,0),IF($I$57="bta",IF($Z$57&lt;=0,$Z$57,0),"err")))))</f>
        <v>0</v>
      </c>
      <c r="AF57" s="46">
        <f>IF($B$36,,IF($I$57="nca",IF($Z$57&lt;0,0,ABS($Z$57)),IF($I$57="ncb",0,IF($I$57="atb",IF($Z$57&lt;=0,0,$Z$57),IF($I$57="bta",IF($Z$57&lt;=0,0,$AD$57+$Z$57),"err")))))</f>
        <v>0</v>
      </c>
      <c r="AG57" s="46" t="b">
        <f>IF(SUM(COUNTIFS($AF$57,"&lt;&gt;0",$AF$57,"&lt;&gt;"),COUNTIFS($AC$57,"&lt;&gt;0",$AC$57,"&lt;&gt;"),COUNTIFS($AD$57,"&lt;&gt;0",$AD$57,"&lt;&gt;"),COUNTIFS($AE$57,"&lt;&gt;0",$AE$57,"&lt;&gt;"))=2,TRUE,FALSE)</f>
        <v>0</v>
      </c>
      <c r="AH57" s="46" t="e">
        <f>IF($B$36,NA(),IF($Z$57=0,NA(),IF($AG$57,SUM($AC$57,$AF$57,$AD$57,$AE$57)/2,IF(OR($AF$57&lt;&gt;0,$AD$57&lt;&gt;0),$D$56+$AB$57,$D$56-$AA$57)+$Z$57/2)))</f>
        <v>#N/A</v>
      </c>
    </row>
    <row r="58" spans="1:34">
      <c r="A58" s="46"/>
      <c r="B58" s="46"/>
      <c r="C58" s="46" t="e">
        <f>#REF!</f>
        <v>#REF!</v>
      </c>
      <c r="D58" s="46" t="e">
        <f>SUM($D$57,$C$58)</f>
        <v>#REF!</v>
      </c>
      <c r="E58" s="46" t="e">
        <f>$D$57&gt;=0</f>
        <v>#REF!</v>
      </c>
      <c r="F58" s="46" t="e">
        <f>IF($B$36,AND($D$57&lt;=0,SUM($D$57,$C$58)&gt; 0),AND($D$57&lt;=0,SUM($D$57,$R$58)&gt; 0))</f>
        <v>#REF!</v>
      </c>
      <c r="G58" s="46" t="e">
        <f>IF($B$36,AND($D$57&gt;=0,SUM($D$57,$C$58)&lt; 0),AND($D$57&gt;=0,SUM($D$57,$Q$58)&lt; 0))</f>
        <v>#REF!</v>
      </c>
      <c r="H58" s="46" t="e">
        <f>OR($G$58,$F$58)</f>
        <v>#REF!</v>
      </c>
      <c r="I58" s="46" t="e">
        <f>IF($H$58,IF($G$58,"atb","bta"),IF($E$58,"nca","ncb"))</f>
        <v>#REF!</v>
      </c>
      <c r="J58" s="46" t="e">
        <f>IF($H$58,0,IF($B$36,IF($E$58,IF($C$58&gt;=0,$D$57,$D$57+$C$58),IF($C$58&gt;=0,$D$57+$C$58,$D$57)),IF($E$58,SUM($D$57,$Q$58),SUM($D$57,$R$58))))</f>
        <v>#REF!</v>
      </c>
      <c r="K58" s="46"/>
      <c r="L58" s="46"/>
      <c r="M58" s="46" t="e">
        <f>IF(COUNTIF(#REF!, "= 0")+ COUNTBLANK(#REF!) = 1,NA(),IF($B$36,NA(),IF($C$58&gt;=0,SUM($D$57,$R$58),NA())))</f>
        <v>#REF!</v>
      </c>
      <c r="N58" s="46" t="e">
        <f>IF(COUNTIF(#REF!, "= 0")+ COUNTBLANK(#REF!) = 1,NA(),IF($B$36,NA(),IF($C$58&gt;=0,NA(),SUM($D$57,$Q$58))))</f>
        <v>#REF!</v>
      </c>
      <c r="O58" s="46" t="e">
        <f>$C$58</f>
        <v>#REF!</v>
      </c>
      <c r="P58" s="46" t="e">
        <f>$C$58</f>
        <v>#REF!</v>
      </c>
      <c r="Q58" s="46">
        <f>SUMIF($Z$58:$Z$58,"&lt;0")</f>
        <v>0</v>
      </c>
      <c r="R58" s="46">
        <f>SUMIF($Z$58:$Z$58,"&gt;0")</f>
        <v>0</v>
      </c>
      <c r="S58" s="46" t="e">
        <f>IF($B$36,IF($I$58="nca",IF($C$58&gt;=0,0,ABS($C$58)),IF($I$58="ncb",0,IF($I$58="atb",IF($C$58&gt;=0,0,IF($D$57&lt;0,0,IF(ABS($C$58)&gt;$D$57,$D$57,ABS($C$58)))),IF($I$58="bta",0,"err")))),)</f>
        <v>#REF!</v>
      </c>
      <c r="T58" s="46" t="e">
        <f>IF($B$36,IF($I$58="nca",IF($C$58&lt;0,0,ABS($C$58)),IF($I$58="ncb",0,IF($I$58="atb",IF($C$58&lt;=0,0,$C$58),IF($I$58="bta",IF($C$58&lt;=0,0,$V$58+$C$58),"err")))),)</f>
        <v>#REF!</v>
      </c>
      <c r="U58" s="46" t="e">
        <f>IF($B$36,IF($I$58="nca",0,IF($I$58="ncb",IF($C$58&lt;=0,-ABS($C$58),0),IF($I$58="atb",IF($C$58&lt;0,$C$58+$S$58,0),IF($I$58="bta",IF($C$58&lt;=0,$C$58,0),"err")))),)</f>
        <v>#REF!</v>
      </c>
      <c r="V58" s="46" t="e">
        <f>IF($B$36,IF($I$58="nca",0,IF($I$58="ncb",IF($C$58&gt;=0,-ABS($C$58),0),IF($I$58="atb",0,IF($I$58="bta",IF($C$58&lt;=0,0,IF($D$57&gt;0,0,IF(ABS($C$58)&lt;ABS($D$57),-ABS($C$58),$D$57))),"err")))),)</f>
        <v>#REF!</v>
      </c>
      <c r="W58" s="46" t="e">
        <f>IF($C$58&gt;=0,IF($B$36,IF($C$58=0,NA(),$D$58),NA()),NA())</f>
        <v>#REF!</v>
      </c>
      <c r="X58" s="46" t="e">
        <f>IF($C$58&lt;0,IF($B$36,IF($C$58=0,NA(),$D$58),NA()),NA())</f>
        <v>#REF!</v>
      </c>
      <c r="Y58" s="46" t="e">
        <f>IF(IF($B$36,$C$43 = 0,COUNTIF(#REF!, "= 0")+ COUNTBLANK(#REF!) = 1),$Y$57,NA())</f>
        <v>#REF!</v>
      </c>
      <c r="Z58" s="46" t="e">
        <f>#REF!</f>
        <v>#REF!</v>
      </c>
      <c r="AA58" s="46">
        <v>0</v>
      </c>
      <c r="AB58" s="46">
        <v>0</v>
      </c>
      <c r="AC58" s="46">
        <f>IF($B$36,,IF($I$58="nca",IF($Z$58&gt;=0,0,ABS($Z$58)),IF($I$58="ncb",0,IF($I$58="atb",IF($Z$58&gt;=0,0,IF($D$57-$AA$58&lt;0,0,IF(ABS($Z$58)&gt;$D$57-$AA$58,$D$57-$AA$58,ABS($Z$58)))),IF($I$58="bta",0,"err")))))</f>
        <v>0</v>
      </c>
      <c r="AD58" s="46">
        <f>IF($B$36,,IF($I$58="nca",0,IF($I$58="ncb",IF($Z$58&gt;=0,-ABS($Z$58),0),IF($I$58="atb",0,IF($I$58="bta",IF($Z$58&lt;=0,0,IF($D$57+$AB$58&gt;0,0,IF(ABS($Z$58)&lt;ABS($D$57+$AB$58),-ABS($Z$58),$D$57+$AB$58))),"err")))))</f>
        <v>0</v>
      </c>
      <c r="AE58" s="46">
        <f>IF($B$36,,IF($I$58="nca",0,IF($I$58="ncb",IF($Z$58&lt;=0,-ABS($Z$58),0),IF($I$58="atb",IF($Z$58&lt;0,$Z$58+$AC$58,0),IF($I$58="bta",IF($Z$58&lt;=0,$Z$58,0),"err")))))</f>
        <v>0</v>
      </c>
      <c r="AF58" s="46">
        <f>IF($B$36,,IF($I$58="nca",IF($Z$58&lt;0,0,ABS($Z$58)),IF($I$58="ncb",0,IF($I$58="atb",IF($Z$58&lt;=0,0,$Z$58),IF($I$58="bta",IF($Z$58&lt;=0,0,$AD$58+$Z$58),"err")))))</f>
        <v>0</v>
      </c>
      <c r="AG58" s="46" t="b">
        <f>IF(SUM(COUNTIFS($AF$58,"&lt;&gt;0",$AF$58,"&lt;&gt;"),COUNTIFS($AC$58,"&lt;&gt;0",$AC$58,"&lt;&gt;"),COUNTIFS($AD$58,"&lt;&gt;0",$AD$58,"&lt;&gt;"),COUNTIFS($AE$58,"&lt;&gt;0",$AE$58,"&lt;&gt;"))=2,TRUE,FALSE)</f>
        <v>0</v>
      </c>
      <c r="AH58" s="46" t="e">
        <f>IF($B$36,NA(),IF($Z$58=0,NA(),IF($AG$58,SUM($AC$58,$AF$58,$AD$58,$AE$58)/2,IF(OR($AF$58&lt;&gt;0,$AD$58&lt;&gt;0),$D$57+$AB$58,$D$57-$AA$58)+$Z$58/2)))</f>
        <v>#N/A</v>
      </c>
    </row>
    <row r="59" spans="1:34">
      <c r="A59" s="46"/>
      <c r="B59" s="46"/>
      <c r="C59" s="46" t="e">
        <f>#REF!</f>
        <v>#REF!</v>
      </c>
      <c r="D59" s="46" t="e">
        <f>$C$59</f>
        <v>#REF!</v>
      </c>
      <c r="E59" s="46"/>
      <c r="F59" s="46"/>
      <c r="G59" s="46"/>
      <c r="H59" s="46"/>
      <c r="I59" s="46"/>
      <c r="J59" s="46"/>
      <c r="K59" s="46" t="e">
        <f>IF(COUNTIF(#REF!, "= 0")+ COUNTBLANK(#REF!) = 1,NA(),IF($B$35,$D$59,NA()))</f>
        <v>#REF!</v>
      </c>
      <c r="L59" s="46" t="e">
        <f>$D$59</f>
        <v>#REF!</v>
      </c>
      <c r="M59" s="46" t="e">
        <f>IF(COUNTIF(#REF!, "= 0")+ COUNTBLANK(#REF!) = 1,NA(),IF($B$35,NA(),IF($C$59&gt;= 0,$R$59,NA())))</f>
        <v>#REF!</v>
      </c>
      <c r="N59" s="46" t="e">
        <f>IF(COUNTIF(#REF!, "= 0")+ COUNTBLANK(#REF!) = 1,NA(),IF($B$35,NA(),IF($C$59&lt;= 0,$Q$59,NA())))</f>
        <v>#REF!</v>
      </c>
      <c r="O59" s="46" t="e">
        <f>$C$59</f>
        <v>#REF!</v>
      </c>
      <c r="P59" s="46" t="e">
        <f>$C$59</f>
        <v>#REF!</v>
      </c>
      <c r="Q59" s="46">
        <f>SUMIF($Z$59:$Z$59,"&lt;0")</f>
        <v>0</v>
      </c>
      <c r="R59" s="46">
        <f>SUMIF($Z$59:$Z$59,"&gt;0")</f>
        <v>0</v>
      </c>
      <c r="S59" s="46"/>
      <c r="T59" s="46"/>
      <c r="U59" s="46"/>
      <c r="V59" s="46"/>
      <c r="W59" s="46"/>
      <c r="X59" s="46"/>
      <c r="Y59" s="46" t="e">
        <f>$D$43</f>
        <v>#REF!</v>
      </c>
      <c r="Z59" s="46" t="e">
        <f>#REF!</f>
        <v>#REF!</v>
      </c>
      <c r="AA59" s="46">
        <v>0</v>
      </c>
      <c r="AB59" s="46">
        <v>0</v>
      </c>
      <c r="AC59" s="46"/>
      <c r="AD59" s="46"/>
      <c r="AE59" s="46">
        <f>IF($B$35,,IF($Z$59 &lt; 0,$Z$59,))</f>
        <v>0</v>
      </c>
      <c r="AF59" s="46">
        <f>IF($B$35,,IF($Z$59 &gt; 0,$Z$59,))</f>
        <v>0</v>
      </c>
      <c r="AG59" s="46"/>
      <c r="AH59" s="46" t="e">
        <f>IF($B$35,NA(),IF($Z$59 = 0,NA(),IF($Z$59 &gt; 0,$AB$59 + $Z$59/2,-$AA$59 + $Z$59/2)))</f>
        <v>#N/A</v>
      </c>
    </row>
    <row r="60" spans="1:34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 t="e">
        <f>$D$43</f>
        <v>#REF!</v>
      </c>
      <c r="Z60" s="46"/>
      <c r="AA60" s="46"/>
      <c r="AB60" s="46"/>
      <c r="AC60" s="46"/>
      <c r="AD60" s="46"/>
      <c r="AE60" s="46"/>
      <c r="AF60" s="46"/>
      <c r="AG60" s="46"/>
      <c r="AH60" s="46"/>
    </row>
    <row r="61" spans="1:34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 t="e">
        <f>IF(IF($B$36,$C$44 = 0,COUNTIF(#REF!, "= 0")+ COUNTBLANK(#REF!) = 1),$Y$60,NA())</f>
        <v>#REF!</v>
      </c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 t="e">
        <f>$D$44</f>
        <v>#REF!</v>
      </c>
      <c r="Z62" s="46"/>
      <c r="AA62" s="46"/>
      <c r="AB62" s="46"/>
      <c r="AC62" s="46"/>
      <c r="AD62" s="46"/>
      <c r="AE62" s="46"/>
      <c r="AF62" s="46"/>
      <c r="AG62" s="46"/>
      <c r="AH62" s="46"/>
    </row>
    <row r="63" spans="1:34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 t="e">
        <f>$D$44</f>
        <v>#REF!</v>
      </c>
      <c r="Z63" s="46"/>
      <c r="AA63" s="46"/>
      <c r="AB63" s="46"/>
      <c r="AC63" s="46"/>
      <c r="AD63" s="46"/>
      <c r="AE63" s="46"/>
      <c r="AF63" s="46"/>
      <c r="AG63" s="46"/>
      <c r="AH63" s="46"/>
    </row>
    <row r="64" spans="1:3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 t="e">
        <f>IF(IF($B$36,$C$45 = 0,COUNTIF(#REF!, "= 0")+ COUNTBLANK(#REF!) = 1),$Y$63,NA())</f>
        <v>#REF!</v>
      </c>
      <c r="Z64" s="46"/>
      <c r="AA64" s="46"/>
      <c r="AB64" s="46"/>
      <c r="AC64" s="46"/>
      <c r="AD64" s="46"/>
      <c r="AE64" s="46"/>
      <c r="AF64" s="46"/>
      <c r="AG64" s="46"/>
      <c r="AH64" s="46"/>
    </row>
    <row r="65" spans="1:34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 t="e">
        <f>$D$45</f>
        <v>#REF!</v>
      </c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 t="e">
        <f>$D$45</f>
        <v>#REF!</v>
      </c>
      <c r="Z66" s="46"/>
      <c r="AA66" s="46"/>
      <c r="AB66" s="46"/>
      <c r="AC66" s="46"/>
      <c r="AD66" s="46"/>
      <c r="AE66" s="46"/>
      <c r="AF66" s="46"/>
      <c r="AG66" s="46"/>
      <c r="AH66" s="46"/>
    </row>
    <row r="67" spans="1:34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 t="e">
        <f>IF(IF($B$36,$C$46 = 0,COUNTIF(#REF!, "= 0")+ COUNTBLANK(#REF!) = 1),$Y$66,NA())</f>
        <v>#REF!</v>
      </c>
      <c r="Z67" s="46"/>
      <c r="AA67" s="46"/>
      <c r="AB67" s="46"/>
      <c r="AC67" s="46"/>
      <c r="AD67" s="46"/>
      <c r="AE67" s="46"/>
      <c r="AF67" s="46"/>
      <c r="AG67" s="46"/>
      <c r="AH67" s="46"/>
    </row>
    <row r="68" spans="1:34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 t="e">
        <f>$D$46</f>
        <v>#REF!</v>
      </c>
      <c r="Z68" s="46"/>
      <c r="AA68" s="46"/>
      <c r="AB68" s="46"/>
      <c r="AC68" s="46"/>
      <c r="AD68" s="46"/>
      <c r="AE68" s="46"/>
      <c r="AF68" s="46"/>
      <c r="AG68" s="46"/>
      <c r="AH68" s="46"/>
    </row>
    <row r="69" spans="1:34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 t="e">
        <f>$D$46</f>
        <v>#REF!</v>
      </c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 t="e">
        <f>IF(IF($B$36,$C$47 = 0,COUNTIF(#REF!, "= 0")+ COUNTBLANK(#REF!) = 1),$Y$69,NA())</f>
        <v>#REF!</v>
      </c>
      <c r="Z70" s="46"/>
      <c r="AA70" s="46"/>
      <c r="AB70" s="46"/>
      <c r="AC70" s="46"/>
      <c r="AD70" s="46"/>
      <c r="AE70" s="46"/>
      <c r="AF70" s="46"/>
      <c r="AG70" s="46"/>
      <c r="AH70" s="46"/>
    </row>
    <row r="71" spans="1:34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 t="e">
        <f>$D$47</f>
        <v>#REF!</v>
      </c>
      <c r="Z71" s="46"/>
      <c r="AA71" s="46"/>
      <c r="AB71" s="46"/>
      <c r="AC71" s="46"/>
      <c r="AD71" s="46"/>
      <c r="AE71" s="46"/>
      <c r="AF71" s="46"/>
      <c r="AG71" s="46"/>
      <c r="AH71" s="46"/>
    </row>
    <row r="72" spans="1:34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 t="e">
        <f>$D$47</f>
        <v>#REF!</v>
      </c>
      <c r="Z72" s="46"/>
      <c r="AA72" s="46"/>
      <c r="AB72" s="46"/>
      <c r="AC72" s="46"/>
      <c r="AD72" s="46"/>
      <c r="AE72" s="46"/>
      <c r="AF72" s="46"/>
      <c r="AG72" s="46"/>
      <c r="AH72" s="46"/>
    </row>
    <row r="73" spans="1:34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 t="e">
        <f>IF(IF($B$36,$C$48 = 0,COUNTIF(#REF!, "= 0")+ COUNTBLANK(#REF!) = 1),$Y$72,NA())</f>
        <v>#REF!</v>
      </c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 t="e">
        <f>$D$48</f>
        <v>#REF!</v>
      </c>
      <c r="Z74" s="46"/>
      <c r="AA74" s="46"/>
      <c r="AB74" s="46"/>
      <c r="AC74" s="46"/>
      <c r="AD74" s="46"/>
      <c r="AE74" s="46"/>
      <c r="AF74" s="46"/>
      <c r="AG74" s="46"/>
      <c r="AH74" s="46"/>
    </row>
    <row r="75" spans="1:34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 t="e">
        <f>$D$48</f>
        <v>#REF!</v>
      </c>
      <c r="Z75" s="46"/>
      <c r="AA75" s="46"/>
      <c r="AB75" s="46"/>
      <c r="AC75" s="46"/>
      <c r="AD75" s="46"/>
      <c r="AE75" s="46"/>
      <c r="AF75" s="46"/>
      <c r="AG75" s="46"/>
      <c r="AH75" s="46"/>
    </row>
    <row r="76" spans="1:34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 t="e">
        <f>IF(IF($B$36,$C$49 = 0,COUNTIF(#REF!, "= 0")+ COUNTBLANK(#REF!) = 1),$Y$75,NA())</f>
        <v>#REF!</v>
      </c>
      <c r="Z76" s="46"/>
      <c r="AA76" s="46"/>
      <c r="AB76" s="46"/>
      <c r="AC76" s="46"/>
      <c r="AD76" s="46"/>
      <c r="AE76" s="46"/>
      <c r="AF76" s="46"/>
      <c r="AG76" s="46"/>
      <c r="AH76" s="46"/>
    </row>
    <row r="77" spans="1:34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 t="e">
        <f>$D$49</f>
        <v>#REF!</v>
      </c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 t="e">
        <f>$D$49</f>
        <v>#REF!</v>
      </c>
      <c r="Z78" s="46"/>
      <c r="AA78" s="46"/>
      <c r="AB78" s="46"/>
      <c r="AC78" s="46"/>
      <c r="AD78" s="46"/>
      <c r="AE78" s="46"/>
      <c r="AF78" s="46"/>
      <c r="AG78" s="46"/>
      <c r="AH78" s="46"/>
    </row>
    <row r="79" spans="1:34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 t="e">
        <f>IF(IF($B$36,$C$50 = 0,COUNTIF(#REF!, "= 0")+ COUNTBLANK(#REF!) = 1),$Y$78,NA())</f>
        <v>#REF!</v>
      </c>
      <c r="Z79" s="46"/>
      <c r="AA79" s="46"/>
      <c r="AB79" s="46"/>
      <c r="AC79" s="46"/>
      <c r="AD79" s="46"/>
      <c r="AE79" s="46"/>
      <c r="AF79" s="46"/>
      <c r="AG79" s="46"/>
      <c r="AH79" s="46"/>
    </row>
    <row r="80" spans="1:34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 t="e">
        <f>$D$50</f>
        <v>#REF!</v>
      </c>
      <c r="Z80" s="46"/>
      <c r="AA80" s="46"/>
      <c r="AB80" s="46"/>
      <c r="AC80" s="46"/>
      <c r="AD80" s="46"/>
      <c r="AE80" s="46"/>
      <c r="AF80" s="46"/>
      <c r="AG80" s="46"/>
      <c r="AH80" s="46"/>
    </row>
    <row r="81" spans="1:34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 t="e">
        <f>$D$50</f>
        <v>#REF!</v>
      </c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 t="e">
        <f>IF(IF($B$36,$C$51 = 0,COUNTIF(#REF!, "= 0")+ COUNTBLANK(#REF!) = 1),$Y$81,NA())</f>
        <v>#REF!</v>
      </c>
      <c r="Z82" s="46"/>
      <c r="AA82" s="46"/>
      <c r="AB82" s="46"/>
      <c r="AC82" s="46"/>
      <c r="AD82" s="46"/>
      <c r="AE82" s="46"/>
      <c r="AF82" s="46"/>
      <c r="AG82" s="46"/>
      <c r="AH82" s="46"/>
    </row>
    <row r="83" spans="1:34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 t="e">
        <f>$D$51</f>
        <v>#REF!</v>
      </c>
      <c r="Z83" s="46"/>
      <c r="AA83" s="46"/>
      <c r="AB83" s="46"/>
      <c r="AC83" s="46"/>
      <c r="AD83" s="46"/>
      <c r="AE83" s="46"/>
      <c r="AF83" s="46"/>
      <c r="AG83" s="46"/>
      <c r="AH83" s="46"/>
    </row>
    <row r="84" spans="1:3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 t="e">
        <f>$D$51</f>
        <v>#REF!</v>
      </c>
      <c r="Z84" s="46"/>
      <c r="AA84" s="46"/>
      <c r="AB84" s="46"/>
      <c r="AC84" s="46"/>
      <c r="AD84" s="46"/>
      <c r="AE84" s="46"/>
      <c r="AF84" s="46"/>
      <c r="AG84" s="46"/>
      <c r="AH84" s="46"/>
    </row>
    <row r="85" spans="1:34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 t="e">
        <f>IF(IF($B$36,$C$52 = 0,COUNTIF(#REF!, "= 0")+ COUNTBLANK(#REF!) = 1),$Y$84,NA())</f>
        <v>#REF!</v>
      </c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 t="e">
        <f>$D$52</f>
        <v>#REF!</v>
      </c>
      <c r="Z86" s="46"/>
      <c r="AA86" s="46"/>
      <c r="AB86" s="46"/>
      <c r="AC86" s="46"/>
      <c r="AD86" s="46"/>
      <c r="AE86" s="46"/>
      <c r="AF86" s="46"/>
      <c r="AG86" s="46"/>
      <c r="AH86" s="46"/>
    </row>
    <row r="87" spans="1:34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 t="e">
        <f>$D$52</f>
        <v>#REF!</v>
      </c>
      <c r="Z87" s="46"/>
      <c r="AA87" s="46"/>
      <c r="AB87" s="46"/>
      <c r="AC87" s="46"/>
      <c r="AD87" s="46"/>
      <c r="AE87" s="46"/>
      <c r="AF87" s="46"/>
      <c r="AG87" s="46"/>
      <c r="AH87" s="46"/>
    </row>
    <row r="88" spans="1:34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 t="e">
        <f>IF(IF($B$36,$C$53 = 0,COUNTIF(#REF!, "= 0")+ COUNTBLANK(#REF!) = 1),$Y$87,NA())</f>
        <v>#REF!</v>
      </c>
      <c r="Z88" s="46"/>
      <c r="AA88" s="46"/>
      <c r="AB88" s="46"/>
      <c r="AC88" s="46"/>
      <c r="AD88" s="46"/>
      <c r="AE88" s="46"/>
      <c r="AF88" s="46"/>
      <c r="AG88" s="46"/>
      <c r="AH88" s="46"/>
    </row>
    <row r="89" spans="1:34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 t="e">
        <f>$D$53</f>
        <v>#REF!</v>
      </c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 t="e">
        <f>$D$53</f>
        <v>#REF!</v>
      </c>
      <c r="Z90" s="46"/>
      <c r="AA90" s="46"/>
      <c r="AB90" s="46"/>
      <c r="AC90" s="46"/>
      <c r="AD90" s="46"/>
      <c r="AE90" s="46"/>
      <c r="AF90" s="46"/>
      <c r="AG90" s="46"/>
      <c r="AH90" s="46"/>
    </row>
    <row r="91" spans="1:34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 t="e">
        <f>IF(IF($B$36,$C$54 = 0,COUNTIF(#REF!, "= 0")+ COUNTBLANK(#REF!) = 1),$Y$90,NA())</f>
        <v>#REF!</v>
      </c>
      <c r="Z91" s="46"/>
      <c r="AA91" s="46"/>
      <c r="AB91" s="46"/>
      <c r="AC91" s="46"/>
      <c r="AD91" s="46"/>
      <c r="AE91" s="46"/>
      <c r="AF91" s="46"/>
      <c r="AG91" s="46"/>
      <c r="AH91" s="46"/>
    </row>
    <row r="92" spans="1:34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 t="e">
        <f>$D$54</f>
        <v>#REF!</v>
      </c>
      <c r="Z92" s="46"/>
      <c r="AA92" s="46"/>
      <c r="AB92" s="46"/>
      <c r="AC92" s="46"/>
      <c r="AD92" s="46"/>
      <c r="AE92" s="46"/>
      <c r="AF92" s="46"/>
      <c r="AG92" s="46"/>
      <c r="AH92" s="46"/>
    </row>
    <row r="93" spans="1:34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 t="e">
        <f>$D$54</f>
        <v>#REF!</v>
      </c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 t="e">
        <f>IF(IF($B$36,$C$55 = 0,COUNTIF(#REF!, "= 0")+ COUNTBLANK(#REF!) = 1),$Y$93,NA())</f>
        <v>#REF!</v>
      </c>
      <c r="Z94" s="46"/>
      <c r="AA94" s="46"/>
      <c r="AB94" s="46"/>
      <c r="AC94" s="46"/>
      <c r="AD94" s="46"/>
      <c r="AE94" s="46"/>
      <c r="AF94" s="46"/>
      <c r="AG94" s="46"/>
      <c r="AH94" s="46"/>
    </row>
    <row r="95" spans="1:34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 t="e">
        <f>$D$55</f>
        <v>#REF!</v>
      </c>
      <c r="Z95" s="46"/>
      <c r="AA95" s="46"/>
      <c r="AB95" s="46"/>
      <c r="AC95" s="46"/>
      <c r="AD95" s="46"/>
      <c r="AE95" s="46"/>
      <c r="AF95" s="46"/>
      <c r="AG95" s="46"/>
      <c r="AH95" s="46"/>
    </row>
    <row r="96" spans="1:34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 t="e">
        <f>$D$55</f>
        <v>#REF!</v>
      </c>
      <c r="Z96" s="46"/>
      <c r="AA96" s="46"/>
      <c r="AB96" s="46"/>
      <c r="AC96" s="46"/>
      <c r="AD96" s="46"/>
      <c r="AE96" s="46"/>
      <c r="AF96" s="46"/>
      <c r="AG96" s="46"/>
      <c r="AH96" s="46"/>
    </row>
    <row r="97" spans="1:34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 t="e">
        <f>IF(IF($B$36,$C$56 = 0,COUNTIF(#REF!, "= 0")+ COUNTBLANK(#REF!) = 1),$Y$96,NA())</f>
        <v>#REF!</v>
      </c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 t="e">
        <f>$D$56</f>
        <v>#REF!</v>
      </c>
      <c r="Z98" s="46"/>
      <c r="AA98" s="46"/>
      <c r="AB98" s="46"/>
      <c r="AC98" s="46"/>
      <c r="AD98" s="46"/>
      <c r="AE98" s="46"/>
      <c r="AF98" s="46"/>
      <c r="AG98" s="46"/>
      <c r="AH98" s="46"/>
    </row>
    <row r="99" spans="1:34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 t="e">
        <f>$D$56</f>
        <v>#REF!</v>
      </c>
      <c r="Z99" s="46"/>
      <c r="AA99" s="46"/>
      <c r="AB99" s="46"/>
      <c r="AC99" s="46"/>
      <c r="AD99" s="46"/>
      <c r="AE99" s="46"/>
      <c r="AF99" s="46"/>
      <c r="AG99" s="46"/>
      <c r="AH99" s="46"/>
    </row>
    <row r="100" spans="1:34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 t="e">
        <f>IF(IF($B$36,$C$57 = 0,COUNTIF(#REF!, "= 0")+ COUNTBLANK(#REF!) = 1),$Y$99,NA())</f>
        <v>#REF!</v>
      </c>
      <c r="Z100" s="46"/>
      <c r="AA100" s="46"/>
      <c r="AB100" s="46"/>
      <c r="AC100" s="46"/>
      <c r="AD100" s="46"/>
      <c r="AE100" s="46"/>
      <c r="AF100" s="46"/>
      <c r="AG100" s="46"/>
      <c r="AH100" s="46"/>
    </row>
    <row r="101" spans="1:34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 t="e">
        <f>$D$57</f>
        <v>#REF!</v>
      </c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 t="e">
        <f>$D$57</f>
        <v>#REF!</v>
      </c>
      <c r="Z102" s="46"/>
      <c r="AA102" s="46"/>
      <c r="AB102" s="46"/>
      <c r="AC102" s="46"/>
      <c r="AD102" s="46"/>
      <c r="AE102" s="46"/>
      <c r="AF102" s="46"/>
      <c r="AG102" s="46"/>
      <c r="AH102" s="46"/>
    </row>
    <row r="103" spans="1:34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 t="e">
        <f>IF(IF($B$36,$C$58 = 0,COUNTIF(#REF!, "= 0")+ COUNTBLANK(#REF!) = 1),$Y$102,NA())</f>
        <v>#REF!</v>
      </c>
      <c r="Z103" s="46"/>
      <c r="AA103" s="46"/>
      <c r="AB103" s="46"/>
      <c r="AC103" s="46"/>
      <c r="AD103" s="46"/>
      <c r="AE103" s="46"/>
      <c r="AF103" s="46"/>
      <c r="AG103" s="46"/>
      <c r="AH103" s="46"/>
    </row>
    <row r="104" spans="1:3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 t="e">
        <f>$D$58</f>
        <v>#REF!</v>
      </c>
      <c r="Z104" s="46"/>
      <c r="AA104" s="46"/>
      <c r="AB104" s="46"/>
      <c r="AC104" s="46"/>
      <c r="AD104" s="46"/>
      <c r="AE104" s="46"/>
      <c r="AF104" s="46"/>
      <c r="AG104" s="46"/>
      <c r="AH104" s="46"/>
    </row>
    <row r="105" spans="1:34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 t="e">
        <f>$D$58</f>
        <v>#REF!</v>
      </c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 t="e">
        <f>IF(IF($B$36,$C$59 = 0,COUNTIF(#REF!, "= 0")+ COUNTBLANK(#REF!) = 1),$Y$105,NA())</f>
        <v>#REF!</v>
      </c>
      <c r="Z106" s="46"/>
      <c r="AA106" s="46"/>
      <c r="AB106" s="46"/>
      <c r="AC106" s="46"/>
      <c r="AD106" s="46"/>
      <c r="AE106" s="46"/>
      <c r="AF106" s="46"/>
      <c r="AG106" s="46"/>
      <c r="AH106" s="46"/>
    </row>
    <row r="108" spans="1:34">
      <c r="A108" s="46" t="s">
        <v>93</v>
      </c>
      <c r="B108" s="46" t="s">
        <v>94</v>
      </c>
      <c r="C108" s="46" t="s">
        <v>95</v>
      </c>
      <c r="D108" s="46" t="s">
        <v>96</v>
      </c>
      <c r="E108" s="46" t="s">
        <v>97</v>
      </c>
      <c r="F108" s="46" t="s">
        <v>98</v>
      </c>
      <c r="G108" s="46" t="s">
        <v>99</v>
      </c>
      <c r="H108" s="46" t="s">
        <v>100</v>
      </c>
      <c r="I108" s="46" t="s">
        <v>101</v>
      </c>
      <c r="J108" s="46" t="s">
        <v>102</v>
      </c>
      <c r="K108" s="46" t="s">
        <v>103</v>
      </c>
      <c r="L108" s="46" t="s">
        <v>104</v>
      </c>
      <c r="M108" s="46" t="s">
        <v>105</v>
      </c>
      <c r="N108" s="46" t="s">
        <v>106</v>
      </c>
      <c r="O108" s="46" t="s">
        <v>107</v>
      </c>
      <c r="P108" s="46" t="s">
        <v>108</v>
      </c>
      <c r="Q108" s="46" t="s">
        <v>109</v>
      </c>
      <c r="R108" s="46" t="s">
        <v>110</v>
      </c>
      <c r="S108" s="46" t="s">
        <v>111</v>
      </c>
      <c r="T108" s="46" t="s">
        <v>112</v>
      </c>
      <c r="U108" s="46" t="s">
        <v>113</v>
      </c>
      <c r="V108" s="46" t="s">
        <v>114</v>
      </c>
      <c r="W108" s="46" t="s">
        <v>115</v>
      </c>
      <c r="X108" s="46" t="s">
        <v>116</v>
      </c>
      <c r="Y108" s="46" t="s">
        <v>117</v>
      </c>
      <c r="Z108" s="46" t="s">
        <v>118</v>
      </c>
      <c r="AA108" s="46" t="s">
        <v>119</v>
      </c>
      <c r="AB108" s="46" t="s">
        <v>120</v>
      </c>
      <c r="AC108" s="46" t="s">
        <v>121</v>
      </c>
      <c r="AD108" s="46" t="s">
        <v>122</v>
      </c>
      <c r="AE108" s="46" t="s">
        <v>123</v>
      </c>
      <c r="AF108" s="46" t="s">
        <v>124</v>
      </c>
      <c r="AG108" s="46" t="s">
        <v>125</v>
      </c>
      <c r="AH108" s="46" t="s">
        <v>126</v>
      </c>
    </row>
    <row r="109" spans="1:34">
      <c r="A109" s="46">
        <v>3</v>
      </c>
      <c r="B109" s="46" t="b">
        <v>1</v>
      </c>
      <c r="C109" s="46" t="e">
        <f>#REF!</f>
        <v>#REF!</v>
      </c>
      <c r="D109" s="46" t="e">
        <f>$C$109</f>
        <v>#REF!</v>
      </c>
      <c r="E109" s="46"/>
      <c r="F109" s="46"/>
      <c r="G109" s="46"/>
      <c r="H109" s="46"/>
      <c r="I109" s="46"/>
      <c r="J109" s="46"/>
      <c r="K109" s="46" t="e">
        <f>IF(COUNTIF(#REF!, "= 0")+ COUNTBLANK(#REF!) = 1,NA(),IF($B$109,$D$109,NA()))</f>
        <v>#REF!</v>
      </c>
      <c r="L109" s="46" t="e">
        <f>$D$109</f>
        <v>#REF!</v>
      </c>
      <c r="M109" s="46" t="e">
        <f>IF(COUNTIF(#REF!, "= 0")+ COUNTBLANK(#REF!) = 1,NA(),IF($B$109,NA(),IF($C$109&gt;= 0,$R$109,NA())))</f>
        <v>#REF!</v>
      </c>
      <c r="N109" s="46" t="e">
        <f>IF(COUNTIF(#REF!, "= 0")+ COUNTBLANK(#REF!) = 1,NA(),IF($B$109,NA(),IF($C$109&lt;= 0,$Q$109,NA())))</f>
        <v>#REF!</v>
      </c>
      <c r="O109" s="46" t="e">
        <f>$C$109</f>
        <v>#REF!</v>
      </c>
      <c r="P109" s="46" t="e">
        <f>$C$109</f>
        <v>#REF!</v>
      </c>
      <c r="Q109" s="46">
        <f>SUMIF($Z$109:$Z$109,"&lt;0")</f>
        <v>0</v>
      </c>
      <c r="R109" s="46">
        <f>SUMIF($Z$109:$Z$109,"&gt;0")</f>
        <v>0</v>
      </c>
      <c r="S109" s="46"/>
      <c r="T109" s="46"/>
      <c r="U109" s="46"/>
      <c r="V109" s="46"/>
      <c r="W109" s="46"/>
      <c r="X109" s="46"/>
      <c r="Y109" s="46" t="e">
        <f>$D$109</f>
        <v>#REF!</v>
      </c>
      <c r="Z109" s="46" t="e">
        <f>#REF!</f>
        <v>#REF!</v>
      </c>
      <c r="AA109" s="46">
        <v>0</v>
      </c>
      <c r="AB109" s="46">
        <v>0</v>
      </c>
      <c r="AC109" s="46"/>
      <c r="AD109" s="46"/>
      <c r="AE109" s="46">
        <f>IF($B$109,,IF($Z$109 &lt; 0,$Z$109,))</f>
        <v>0</v>
      </c>
      <c r="AF109" s="46">
        <f>IF($B$109,,IF($Z$109 &gt; 0,$Z$109,))</f>
        <v>0</v>
      </c>
      <c r="AG109" s="46"/>
      <c r="AH109" s="46" t="e">
        <f>IF($B$109,NA(),IF($Z$109 = 0,NA(),IF($Z$109 &gt; 0,$AB$109 + $Z$109/2,-$AA$109 + $Z$109/2)))</f>
        <v>#N/A</v>
      </c>
    </row>
    <row r="110" spans="1:34">
      <c r="A110" s="46"/>
      <c r="B110" s="46" t="b">
        <v>1</v>
      </c>
      <c r="C110" s="46" t="e">
        <f>#REF!</f>
        <v>#REF!</v>
      </c>
      <c r="D110" s="46" t="e">
        <f>SUM($D$109,$C$110)</f>
        <v>#REF!</v>
      </c>
      <c r="E110" s="46" t="e">
        <f>$D$109&gt;=0</f>
        <v>#REF!</v>
      </c>
      <c r="F110" s="46" t="e">
        <f>IF($B$110,AND($D$109&lt;=0,SUM($D$109,$C$110)&gt; 0),AND($D$109&lt;=0,SUM($D$109,$R$110)&gt; 0))</f>
        <v>#REF!</v>
      </c>
      <c r="G110" s="46" t="e">
        <f>IF($B$110,AND($D$109&gt;=0,SUM($D$109,$C$110)&lt; 0),AND($D$109&gt;=0,SUM($D$109,$Q$110)&lt; 0))</f>
        <v>#REF!</v>
      </c>
      <c r="H110" s="46" t="e">
        <f>OR($G$110,$F$110)</f>
        <v>#REF!</v>
      </c>
      <c r="I110" s="46" t="e">
        <f>IF($H$110,IF($G$110,"atb","bta"),IF($E$110,"nca","ncb"))</f>
        <v>#REF!</v>
      </c>
      <c r="J110" s="46" t="e">
        <f>IF($H$110,0,IF($B$110,IF($E$110,IF($C$110&gt;=0,$D$109,$D$109+$C$110),IF($C$110&gt;=0,$D$109+$C$110,$D$109)),IF($E$110,SUM($D$109,$Q$110),SUM($D$109,$R$110))))</f>
        <v>#REF!</v>
      </c>
      <c r="K110" s="46"/>
      <c r="L110" s="46"/>
      <c r="M110" s="46" t="e">
        <f>IF(COUNTIF(#REF!, "= 0")+ COUNTBLANK(#REF!) = 1,NA(),IF($B$110,NA(),IF($C$110&gt;=0,SUM($D$109,$R$110),NA())))</f>
        <v>#REF!</v>
      </c>
      <c r="N110" s="46" t="e">
        <f>IF(COUNTIF(#REF!, "= 0")+ COUNTBLANK(#REF!) = 1,NA(),IF($B$110,NA(),IF($C$110&gt;=0,NA(),SUM($D$109,$Q$110))))</f>
        <v>#REF!</v>
      </c>
      <c r="O110" s="46" t="e">
        <f>$C$110</f>
        <v>#REF!</v>
      </c>
      <c r="P110" s="46" t="e">
        <f>$C$110</f>
        <v>#REF!</v>
      </c>
      <c r="Q110" s="46">
        <f>SUMIF($Z$110:$Z$110,"&lt;0")</f>
        <v>0</v>
      </c>
      <c r="R110" s="46">
        <f>SUMIF($Z$110:$Z$110,"&gt;0")</f>
        <v>0</v>
      </c>
      <c r="S110" s="46" t="e">
        <f>IF($B$110,IF($I$110="nca",IF($C$110&gt;=0,0,ABS($C$110)),IF($I$110="ncb",0,IF($I$110="atb",IF($C$110&gt;=0,0,IF($D$109&lt;0,0,IF(ABS($C$110)&gt;$D$109,$D$109,ABS($C$110)))),IF($I$110="bta",0,"err")))),)</f>
        <v>#REF!</v>
      </c>
      <c r="T110" s="46" t="e">
        <f>IF($B$110,IF($I$110="nca",IF($C$110&lt;0,0,ABS($C$110)),IF($I$110="ncb",0,IF($I$110="atb",IF($C$110&lt;=0,0,$C$110),IF($I$110="bta",IF($C$110&lt;=0,0,$V$110+$C$110),"err")))),)</f>
        <v>#REF!</v>
      </c>
      <c r="U110" s="46" t="e">
        <f>IF($B$110,IF($I$110="nca",0,IF($I$110="ncb",IF($C$110&lt;=0,-ABS($C$110),0),IF($I$110="atb",IF($C$110&lt;0,$C$110+$S$110,0),IF($I$110="bta",IF($C$110&lt;=0,$C$110,0),"err")))),)</f>
        <v>#REF!</v>
      </c>
      <c r="V110" s="46" t="e">
        <f>IF($B$110,IF($I$110="nca",0,IF($I$110="ncb",IF($C$110&gt;=0,-ABS($C$110),0),IF($I$110="atb",0,IF($I$110="bta",IF($C$110&lt;=0,0,IF($D$109&gt;0,0,IF(ABS($C$110)&lt;ABS($D$109),-ABS($C$110),$D$109))),"err")))),)</f>
        <v>#REF!</v>
      </c>
      <c r="W110" s="46" t="e">
        <f>IF($C$110&gt;=0,IF($B$110,IF($C$110=0,NA(),$D$110),NA()),NA())</f>
        <v>#REF!</v>
      </c>
      <c r="X110" s="46" t="e">
        <f>IF($C$110&lt;0,IF($B$110,IF($C$110=0,NA(),$D$110),NA()),NA())</f>
        <v>#REF!</v>
      </c>
      <c r="Y110" s="46" t="e">
        <f>$D$109</f>
        <v>#REF!</v>
      </c>
      <c r="Z110" s="46" t="e">
        <f>#REF!</f>
        <v>#REF!</v>
      </c>
      <c r="AA110" s="46">
        <v>0</v>
      </c>
      <c r="AB110" s="46">
        <v>0</v>
      </c>
      <c r="AC110" s="46">
        <f>IF($B$110,,IF($I$110="nca",IF($Z$110&gt;=0,0,ABS($Z$110)),IF($I$110="ncb",0,IF($I$110="atb",IF($Z$110&gt;=0,0,IF($D$109-$AA$110&lt;0,0,IF(ABS($Z$110)&gt;$D$109-$AA$110,$D$109-$AA$110,ABS($Z$110)))),IF($I$110="bta",0,"err")))))</f>
        <v>0</v>
      </c>
      <c r="AD110" s="46">
        <f>IF($B$110,,IF($I$110="nca",0,IF($I$110="ncb",IF($Z$110&gt;=0,-ABS($Z$110),0),IF($I$110="atb",0,IF($I$110="bta",IF($Z$110&lt;=0,0,IF($D$109+$AB$110&gt;0,0,IF(ABS($Z$110)&lt;ABS($D$109+$AB$110),-ABS($Z$110),$D$109+$AB$110))),"err")))))</f>
        <v>0</v>
      </c>
      <c r="AE110" s="46">
        <f>IF($B$110,,IF($I$110="nca",0,IF($I$110="ncb",IF($Z$110&lt;=0,-ABS($Z$110),0),IF($I$110="atb",IF($Z$110&lt;0,$Z$110+$AC$110,0),IF($I$110="bta",IF($Z$110&lt;=0,$Z$110,0),"err")))))</f>
        <v>0</v>
      </c>
      <c r="AF110" s="46">
        <f>IF($B$110,,IF($I$110="nca",IF($Z$110&lt;0,0,ABS($Z$110)),IF($I$110="ncb",0,IF($I$110="atb",IF($Z$110&lt;=0,0,$Z$110),IF($I$110="bta",IF($Z$110&lt;=0,0,$AD$110+$Z$110),"err")))))</f>
        <v>0</v>
      </c>
      <c r="AG110" s="46" t="b">
        <f>IF(SUM(COUNTIFS($AF$110,"&lt;&gt;0",$AF$110,"&lt;&gt;"),COUNTIFS($AC$110,"&lt;&gt;0",$AC$110,"&lt;&gt;"),COUNTIFS($AD$110,"&lt;&gt;0",$AD$110,"&lt;&gt;"),COUNTIFS($AE$110,"&lt;&gt;0",$AE$110,"&lt;&gt;"))=2,TRUE,FALSE)</f>
        <v>0</v>
      </c>
      <c r="AH110" s="46" t="e">
        <f>IF($B$110,NA(),IF($Z$110=0,NA(),IF($AG$110,SUM($AC$110,$AF$110,$AD$110,$AE$110)/2,IF(OR($AF$110&lt;&gt;0,$AD$110&lt;&gt;0),$D$109+$AB$110,$D$109-$AA$110)+$Z$110/2)))</f>
        <v>#N/A</v>
      </c>
    </row>
    <row r="111" spans="1:34">
      <c r="A111" s="46"/>
      <c r="B111" s="46"/>
      <c r="C111" s="46" t="e">
        <f>#REF!</f>
        <v>#REF!</v>
      </c>
      <c r="D111" s="46" t="e">
        <f>SUM($D$110,$C$111)</f>
        <v>#REF!</v>
      </c>
      <c r="E111" s="46" t="e">
        <f>$D$110&gt;=0</f>
        <v>#REF!</v>
      </c>
      <c r="F111" s="46" t="e">
        <f>IF($B$110,AND($D$110&lt;=0,SUM($D$110,$C$111)&gt; 0),AND($D$110&lt;=0,SUM($D$110,$R$111)&gt; 0))</f>
        <v>#REF!</v>
      </c>
      <c r="G111" s="46" t="e">
        <f>IF($B$110,AND($D$110&gt;=0,SUM($D$110,$C$111)&lt; 0),AND($D$110&gt;=0,SUM($D$110,$Q$111)&lt; 0))</f>
        <v>#REF!</v>
      </c>
      <c r="H111" s="46" t="e">
        <f>OR($G$111,$F$111)</f>
        <v>#REF!</v>
      </c>
      <c r="I111" s="46" t="e">
        <f>IF($H$111,IF($G$111,"atb","bta"),IF($E$111,"nca","ncb"))</f>
        <v>#REF!</v>
      </c>
      <c r="J111" s="46" t="e">
        <f>IF($H$111,0,IF($B$110,IF($E$111,IF($C$111&gt;=0,$D$110,$D$110+$C$111),IF($C$111&gt;=0,$D$110+$C$111,$D$110)),IF($E$111,SUM($D$110,$Q$111),SUM($D$110,$R$111))))</f>
        <v>#REF!</v>
      </c>
      <c r="K111" s="46"/>
      <c r="L111" s="46"/>
      <c r="M111" s="46" t="e">
        <f>IF(COUNTIF(#REF!, "= 0")+ COUNTBLANK(#REF!) = 1,NA(),IF($B$110,NA(),IF($C$111&gt;=0,SUM($D$110,$R$111),NA())))</f>
        <v>#REF!</v>
      </c>
      <c r="N111" s="46" t="e">
        <f>IF(COUNTIF(#REF!, "= 0")+ COUNTBLANK(#REF!) = 1,NA(),IF($B$110,NA(),IF($C$111&gt;=0,NA(),SUM($D$110,$Q$111))))</f>
        <v>#REF!</v>
      </c>
      <c r="O111" s="46" t="e">
        <f>$C$111</f>
        <v>#REF!</v>
      </c>
      <c r="P111" s="46" t="e">
        <f>$C$111</f>
        <v>#REF!</v>
      </c>
      <c r="Q111" s="46">
        <f>SUMIF($Z$111:$Z$111,"&lt;0")</f>
        <v>0</v>
      </c>
      <c r="R111" s="46">
        <f>SUMIF($Z$111:$Z$111,"&gt;0")</f>
        <v>0</v>
      </c>
      <c r="S111" s="46" t="e">
        <f>IF($B$110,IF($I$111="nca",IF($C$111&gt;=0,0,ABS($C$111)),IF($I$111="ncb",0,IF($I$111="atb",IF($C$111&gt;=0,0,IF($D$110&lt;0,0,IF(ABS($C$111)&gt;$D$110,$D$110,ABS($C$111)))),IF($I$111="bta",0,"err")))),)</f>
        <v>#REF!</v>
      </c>
      <c r="T111" s="46" t="e">
        <f>IF($B$110,IF($I$111="nca",IF($C$111&lt;0,0,ABS($C$111)),IF($I$111="ncb",0,IF($I$111="atb",IF($C$111&lt;=0,0,$C$111),IF($I$111="bta",IF($C$111&lt;=0,0,$V$111+$C$111),"err")))),)</f>
        <v>#REF!</v>
      </c>
      <c r="U111" s="46" t="e">
        <f>IF($B$110,IF($I$111="nca",0,IF($I$111="ncb",IF($C$111&lt;=0,-ABS($C$111),0),IF($I$111="atb",IF($C$111&lt;0,$C$111+$S$111,0),IF($I$111="bta",IF($C$111&lt;=0,$C$111,0),"err")))),)</f>
        <v>#REF!</v>
      </c>
      <c r="V111" s="46" t="e">
        <f>IF($B$110,IF($I$111="nca",0,IF($I$111="ncb",IF($C$111&gt;=0,-ABS($C$111),0),IF($I$111="atb",0,IF($I$111="bta",IF($C$111&lt;=0,0,IF($D$110&gt;0,0,IF(ABS($C$111)&lt;ABS($D$110),-ABS($C$111),$D$110))),"err")))),)</f>
        <v>#REF!</v>
      </c>
      <c r="W111" s="46" t="e">
        <f>IF($C$111&gt;=0,IF($B$110,IF($C$111=0,NA(),$D$111),NA()),NA())</f>
        <v>#REF!</v>
      </c>
      <c r="X111" s="46" t="e">
        <f>IF($C$111&lt;0,IF($B$110,IF($C$111=0,NA(),$D$111),NA()),NA())</f>
        <v>#REF!</v>
      </c>
      <c r="Y111" s="46" t="e">
        <f>IF(IF($B$110,$C$110 = 0,COUNTIF(#REF!, "= 0")+ COUNTBLANK(#REF!) = 1),$Y$110,NA())</f>
        <v>#REF!</v>
      </c>
      <c r="Z111" s="46" t="e">
        <f>#REF!</f>
        <v>#REF!</v>
      </c>
      <c r="AA111" s="46">
        <v>0</v>
      </c>
      <c r="AB111" s="46">
        <v>0</v>
      </c>
      <c r="AC111" s="46">
        <f>IF($B$110,,IF($I$111="nca",IF($Z$111&gt;=0,0,ABS($Z$111)),IF($I$111="ncb",0,IF($I$111="atb",IF($Z$111&gt;=0,0,IF($D$110-$AA$111&lt;0,0,IF(ABS($Z$111)&gt;$D$110-$AA$111,$D$110-$AA$111,ABS($Z$111)))),IF($I$111="bta",0,"err")))))</f>
        <v>0</v>
      </c>
      <c r="AD111" s="46">
        <f>IF($B$110,,IF($I$111="nca",0,IF($I$111="ncb",IF($Z$111&gt;=0,-ABS($Z$111),0),IF($I$111="atb",0,IF($I$111="bta",IF($Z$111&lt;=0,0,IF($D$110+$AB$111&gt;0,0,IF(ABS($Z$111)&lt;ABS($D$110+$AB$111),-ABS($Z$111),$D$110+$AB$111))),"err")))))</f>
        <v>0</v>
      </c>
      <c r="AE111" s="46">
        <f>IF($B$110,,IF($I$111="nca",0,IF($I$111="ncb",IF($Z$111&lt;=0,-ABS($Z$111),0),IF($I$111="atb",IF($Z$111&lt;0,$Z$111+$AC$111,0),IF($I$111="bta",IF($Z$111&lt;=0,$Z$111,0),"err")))))</f>
        <v>0</v>
      </c>
      <c r="AF111" s="46">
        <f>IF($B$110,,IF($I$111="nca",IF($Z$111&lt;0,0,ABS($Z$111)),IF($I$111="ncb",0,IF($I$111="atb",IF($Z$111&lt;=0,0,$Z$111),IF($I$111="bta",IF($Z$111&lt;=0,0,$AD$111+$Z$111),"err")))))</f>
        <v>0</v>
      </c>
      <c r="AG111" s="46" t="b">
        <f>IF(SUM(COUNTIFS($AF$111,"&lt;&gt;0",$AF$111,"&lt;&gt;"),COUNTIFS($AC$111,"&lt;&gt;0",$AC$111,"&lt;&gt;"),COUNTIFS($AD$111,"&lt;&gt;0",$AD$111,"&lt;&gt;"),COUNTIFS($AE$111,"&lt;&gt;0",$AE$111,"&lt;&gt;"))=2,TRUE,FALSE)</f>
        <v>0</v>
      </c>
      <c r="AH111" s="46" t="e">
        <f>IF($B$110,NA(),IF($Z$111=0,NA(),IF($AG$111,SUM($AC$111,$AF$111,$AD$111,$AE$111)/2,IF(OR($AF$111&lt;&gt;0,$AD$111&lt;&gt;0),$D$110+$AB$111,$D$110-$AA$111)+$Z$111/2)))</f>
        <v>#N/A</v>
      </c>
    </row>
    <row r="112" spans="1:34">
      <c r="A112" s="46"/>
      <c r="B112" s="46"/>
      <c r="C112" s="46" t="e">
        <f>#REF!</f>
        <v>#REF!</v>
      </c>
      <c r="D112" s="46" t="e">
        <f>SUM($D$111,$C$112)</f>
        <v>#REF!</v>
      </c>
      <c r="E112" s="46" t="e">
        <f>$D$111&gt;=0</f>
        <v>#REF!</v>
      </c>
      <c r="F112" s="46" t="e">
        <f>IF($B$110,AND($D$111&lt;=0,SUM($D$111,$C$112)&gt; 0),AND($D$111&lt;=0,SUM($D$111,$R$112)&gt; 0))</f>
        <v>#REF!</v>
      </c>
      <c r="G112" s="46" t="e">
        <f>IF($B$110,AND($D$111&gt;=0,SUM($D$111,$C$112)&lt; 0),AND($D$111&gt;=0,SUM($D$111,$Q$112)&lt; 0))</f>
        <v>#REF!</v>
      </c>
      <c r="H112" s="46" t="e">
        <f>OR($G$112,$F$112)</f>
        <v>#REF!</v>
      </c>
      <c r="I112" s="46" t="e">
        <f>IF($H$112,IF($G$112,"atb","bta"),IF($E$112,"nca","ncb"))</f>
        <v>#REF!</v>
      </c>
      <c r="J112" s="46" t="e">
        <f>IF($H$112,0,IF($B$110,IF($E$112,IF($C$112&gt;=0,$D$111,$D$111+$C$112),IF($C$112&gt;=0,$D$111+$C$112,$D$111)),IF($E$112,SUM($D$111,$Q$112),SUM($D$111,$R$112))))</f>
        <v>#REF!</v>
      </c>
      <c r="K112" s="46"/>
      <c r="L112" s="46"/>
      <c r="M112" s="46" t="e">
        <f>IF(COUNTIF(#REF!, "= 0")+ COUNTBLANK(#REF!) = 1,NA(),IF($B$110,NA(),IF($C$112&gt;=0,SUM($D$111,$R$112),NA())))</f>
        <v>#REF!</v>
      </c>
      <c r="N112" s="46" t="e">
        <f>IF(COUNTIF(#REF!, "= 0")+ COUNTBLANK(#REF!) = 1,NA(),IF($B$110,NA(),IF($C$112&gt;=0,NA(),SUM($D$111,$Q$112))))</f>
        <v>#REF!</v>
      </c>
      <c r="O112" s="46" t="e">
        <f>$C$112</f>
        <v>#REF!</v>
      </c>
      <c r="P112" s="46" t="e">
        <f>$C$112</f>
        <v>#REF!</v>
      </c>
      <c r="Q112" s="46">
        <f>SUMIF($Z$112:$Z$112,"&lt;0")</f>
        <v>0</v>
      </c>
      <c r="R112" s="46">
        <f>SUMIF($Z$112:$Z$112,"&gt;0")</f>
        <v>0</v>
      </c>
      <c r="S112" s="46" t="e">
        <f>IF($B$110,IF($I$112="nca",IF($C$112&gt;=0,0,ABS($C$112)),IF($I$112="ncb",0,IF($I$112="atb",IF($C$112&gt;=0,0,IF($D$111&lt;0,0,IF(ABS($C$112)&gt;$D$111,$D$111,ABS($C$112)))),IF($I$112="bta",0,"err")))),)</f>
        <v>#REF!</v>
      </c>
      <c r="T112" s="46" t="e">
        <f>IF($B$110,IF($I$112="nca",IF($C$112&lt;0,0,ABS($C$112)),IF($I$112="ncb",0,IF($I$112="atb",IF($C$112&lt;=0,0,$C$112),IF($I$112="bta",IF($C$112&lt;=0,0,$V$112+$C$112),"err")))),)</f>
        <v>#REF!</v>
      </c>
      <c r="U112" s="46" t="e">
        <f>IF($B$110,IF($I$112="nca",0,IF($I$112="ncb",IF($C$112&lt;=0,-ABS($C$112),0),IF($I$112="atb",IF($C$112&lt;0,$C$112+$S$112,0),IF($I$112="bta",IF($C$112&lt;=0,$C$112,0),"err")))),)</f>
        <v>#REF!</v>
      </c>
      <c r="V112" s="46" t="e">
        <f>IF($B$110,IF($I$112="nca",0,IF($I$112="ncb",IF($C$112&gt;=0,-ABS($C$112),0),IF($I$112="atb",0,IF($I$112="bta",IF($C$112&lt;=0,0,IF($D$111&gt;0,0,IF(ABS($C$112)&lt;ABS($D$111),-ABS($C$112),$D$111))),"err")))),)</f>
        <v>#REF!</v>
      </c>
      <c r="W112" s="46" t="e">
        <f>IF($C$112&gt;=0,IF($B$110,IF($C$112=0,NA(),$D$112),NA()),NA())</f>
        <v>#REF!</v>
      </c>
      <c r="X112" s="46" t="e">
        <f>IF($C$112&lt;0,IF($B$110,IF($C$112=0,NA(),$D$112),NA()),NA())</f>
        <v>#REF!</v>
      </c>
      <c r="Y112" s="46" t="e">
        <f>$D$110</f>
        <v>#REF!</v>
      </c>
      <c r="Z112" s="46" t="e">
        <f>#REF!</f>
        <v>#REF!</v>
      </c>
      <c r="AA112" s="46">
        <v>0</v>
      </c>
      <c r="AB112" s="46">
        <v>0</v>
      </c>
      <c r="AC112" s="46">
        <f>IF($B$110,,IF($I$112="nca",IF($Z$112&gt;=0,0,ABS($Z$112)),IF($I$112="ncb",0,IF($I$112="atb",IF($Z$112&gt;=0,0,IF($D$111-$AA$112&lt;0,0,IF(ABS($Z$112)&gt;$D$111-$AA$112,$D$111-$AA$112,ABS($Z$112)))),IF($I$112="bta",0,"err")))))</f>
        <v>0</v>
      </c>
      <c r="AD112" s="46">
        <f>IF($B$110,,IF($I$112="nca",0,IF($I$112="ncb",IF($Z$112&gt;=0,-ABS($Z$112),0),IF($I$112="atb",0,IF($I$112="bta",IF($Z$112&lt;=0,0,IF($D$111+$AB$112&gt;0,0,IF(ABS($Z$112)&lt;ABS($D$111+$AB$112),-ABS($Z$112),$D$111+$AB$112))),"err")))))</f>
        <v>0</v>
      </c>
      <c r="AE112" s="46">
        <f>IF($B$110,,IF($I$112="nca",0,IF($I$112="ncb",IF($Z$112&lt;=0,-ABS($Z$112),0),IF($I$112="atb",IF($Z$112&lt;0,$Z$112+$AC$112,0),IF($I$112="bta",IF($Z$112&lt;=0,$Z$112,0),"err")))))</f>
        <v>0</v>
      </c>
      <c r="AF112" s="46">
        <f>IF($B$110,,IF($I$112="nca",IF($Z$112&lt;0,0,ABS($Z$112)),IF($I$112="ncb",0,IF($I$112="atb",IF($Z$112&lt;=0,0,$Z$112),IF($I$112="bta",IF($Z$112&lt;=0,0,$AD$112+$Z$112),"err")))))</f>
        <v>0</v>
      </c>
      <c r="AG112" s="46" t="b">
        <f>IF(SUM(COUNTIFS($AF$112,"&lt;&gt;0",$AF$112,"&lt;&gt;"),COUNTIFS($AC$112,"&lt;&gt;0",$AC$112,"&lt;&gt;"),COUNTIFS($AD$112,"&lt;&gt;0",$AD$112,"&lt;&gt;"),COUNTIFS($AE$112,"&lt;&gt;0",$AE$112,"&lt;&gt;"))=2,TRUE,FALSE)</f>
        <v>0</v>
      </c>
      <c r="AH112" s="46" t="e">
        <f>IF($B$110,NA(),IF($Z$112=0,NA(),IF($AG$112,SUM($AC$112,$AF$112,$AD$112,$AE$112)/2,IF(OR($AF$112&lt;&gt;0,$AD$112&lt;&gt;0),$D$111+$AB$112,$D$111-$AA$112)+$Z$112/2)))</f>
        <v>#N/A</v>
      </c>
    </row>
    <row r="113" spans="1:34">
      <c r="A113" s="46"/>
      <c r="B113" s="46"/>
      <c r="C113" s="46" t="e">
        <f>#REF!</f>
        <v>#REF!</v>
      </c>
      <c r="D113" s="46" t="e">
        <f>SUM($D$112,$C$113)</f>
        <v>#REF!</v>
      </c>
      <c r="E113" s="46" t="e">
        <f>$D$112&gt;=0</f>
        <v>#REF!</v>
      </c>
      <c r="F113" s="46" t="e">
        <f>IF($B$110,AND($D$112&lt;=0,SUM($D$112,$C$113)&gt; 0),AND($D$112&lt;=0,SUM($D$112,$R$113)&gt; 0))</f>
        <v>#REF!</v>
      </c>
      <c r="G113" s="46" t="e">
        <f>IF($B$110,AND($D$112&gt;=0,SUM($D$112,$C$113)&lt; 0),AND($D$112&gt;=0,SUM($D$112,$Q$113)&lt; 0))</f>
        <v>#REF!</v>
      </c>
      <c r="H113" s="46" t="e">
        <f>OR($G$113,$F$113)</f>
        <v>#REF!</v>
      </c>
      <c r="I113" s="46" t="e">
        <f>IF($H$113,IF($G$113,"atb","bta"),IF($E$113,"nca","ncb"))</f>
        <v>#REF!</v>
      </c>
      <c r="J113" s="46" t="e">
        <f>IF($H$113,0,IF($B$110,IF($E$113,IF($C$113&gt;=0,$D$112,$D$112+$C$113),IF($C$113&gt;=0,$D$112+$C$113,$D$112)),IF($E$113,SUM($D$112,$Q$113),SUM($D$112,$R$113))))</f>
        <v>#REF!</v>
      </c>
      <c r="K113" s="46"/>
      <c r="L113" s="46"/>
      <c r="M113" s="46" t="e">
        <f>IF(COUNTIF(#REF!, "= 0")+ COUNTBLANK(#REF!) = 1,NA(),IF($B$110,NA(),IF($C$113&gt;=0,SUM($D$112,$R$113),NA())))</f>
        <v>#REF!</v>
      </c>
      <c r="N113" s="46" t="e">
        <f>IF(COUNTIF(#REF!, "= 0")+ COUNTBLANK(#REF!) = 1,NA(),IF($B$110,NA(),IF($C$113&gt;=0,NA(),SUM($D$112,$Q$113))))</f>
        <v>#REF!</v>
      </c>
      <c r="O113" s="46" t="e">
        <f>$C$113</f>
        <v>#REF!</v>
      </c>
      <c r="P113" s="46" t="e">
        <f>$C$113</f>
        <v>#REF!</v>
      </c>
      <c r="Q113" s="46">
        <f>SUMIF($Z$113:$Z$113,"&lt;0")</f>
        <v>0</v>
      </c>
      <c r="R113" s="46">
        <f>SUMIF($Z$113:$Z$113,"&gt;0")</f>
        <v>0</v>
      </c>
      <c r="S113" s="46" t="e">
        <f>IF($B$110,IF($I$113="nca",IF($C$113&gt;=0,0,ABS($C$113)),IF($I$113="ncb",0,IF($I$113="atb",IF($C$113&gt;=0,0,IF($D$112&lt;0,0,IF(ABS($C$113)&gt;$D$112,$D$112,ABS($C$113)))),IF($I$113="bta",0,"err")))),)</f>
        <v>#REF!</v>
      </c>
      <c r="T113" s="46" t="e">
        <f>IF($B$110,IF($I$113="nca",IF($C$113&lt;0,0,ABS($C$113)),IF($I$113="ncb",0,IF($I$113="atb",IF($C$113&lt;=0,0,$C$113),IF($I$113="bta",IF($C$113&lt;=0,0,$V$113+$C$113),"err")))),)</f>
        <v>#REF!</v>
      </c>
      <c r="U113" s="46" t="e">
        <f>IF($B$110,IF($I$113="nca",0,IF($I$113="ncb",IF($C$113&lt;=0,-ABS($C$113),0),IF($I$113="atb",IF($C$113&lt;0,$C$113+$S$113,0),IF($I$113="bta",IF($C$113&lt;=0,$C$113,0),"err")))),)</f>
        <v>#REF!</v>
      </c>
      <c r="V113" s="46" t="e">
        <f>IF($B$110,IF($I$113="nca",0,IF($I$113="ncb",IF($C$113&gt;=0,-ABS($C$113),0),IF($I$113="atb",0,IF($I$113="bta",IF($C$113&lt;=0,0,IF($D$112&gt;0,0,IF(ABS($C$113)&lt;ABS($D$112),-ABS($C$113),$D$112))),"err")))),)</f>
        <v>#REF!</v>
      </c>
      <c r="W113" s="46" t="e">
        <f>IF($C$113&gt;=0,IF($B$110,IF($C$113=0,NA(),$D$113),NA()),NA())</f>
        <v>#REF!</v>
      </c>
      <c r="X113" s="46" t="e">
        <f>IF($C$113&lt;0,IF($B$110,IF($C$113=0,NA(),$D$113),NA()),NA())</f>
        <v>#REF!</v>
      </c>
      <c r="Y113" s="46" t="e">
        <f>$D$110</f>
        <v>#REF!</v>
      </c>
      <c r="Z113" s="46" t="e">
        <f>#REF!</f>
        <v>#REF!</v>
      </c>
      <c r="AA113" s="46">
        <v>0</v>
      </c>
      <c r="AB113" s="46">
        <v>0</v>
      </c>
      <c r="AC113" s="46">
        <f>IF($B$110,,IF($I$113="nca",IF($Z$113&gt;=0,0,ABS($Z$113)),IF($I$113="ncb",0,IF($I$113="atb",IF($Z$113&gt;=0,0,IF($D$112-$AA$113&lt;0,0,IF(ABS($Z$113)&gt;$D$112-$AA$113,$D$112-$AA$113,ABS($Z$113)))),IF($I$113="bta",0,"err")))))</f>
        <v>0</v>
      </c>
      <c r="AD113" s="46">
        <f>IF($B$110,,IF($I$113="nca",0,IF($I$113="ncb",IF($Z$113&gt;=0,-ABS($Z$113),0),IF($I$113="atb",0,IF($I$113="bta",IF($Z$113&lt;=0,0,IF($D$112+$AB$113&gt;0,0,IF(ABS($Z$113)&lt;ABS($D$112+$AB$113),-ABS($Z$113),$D$112+$AB$113))),"err")))))</f>
        <v>0</v>
      </c>
      <c r="AE113" s="46">
        <f>IF($B$110,,IF($I$113="nca",0,IF($I$113="ncb",IF($Z$113&lt;=0,-ABS($Z$113),0),IF($I$113="atb",IF($Z$113&lt;0,$Z$113+$AC$113,0),IF($I$113="bta",IF($Z$113&lt;=0,$Z$113,0),"err")))))</f>
        <v>0</v>
      </c>
      <c r="AF113" s="46">
        <f>IF($B$110,,IF($I$113="nca",IF($Z$113&lt;0,0,ABS($Z$113)),IF($I$113="ncb",0,IF($I$113="atb",IF($Z$113&lt;=0,0,$Z$113),IF($I$113="bta",IF($Z$113&lt;=0,0,$AD$113+$Z$113),"err")))))</f>
        <v>0</v>
      </c>
      <c r="AG113" s="46" t="b">
        <f>IF(SUM(COUNTIFS($AF$113,"&lt;&gt;0",$AF$113,"&lt;&gt;"),COUNTIFS($AC$113,"&lt;&gt;0",$AC$113,"&lt;&gt;"),COUNTIFS($AD$113,"&lt;&gt;0",$AD$113,"&lt;&gt;"),COUNTIFS($AE$113,"&lt;&gt;0",$AE$113,"&lt;&gt;"))=2,TRUE,FALSE)</f>
        <v>0</v>
      </c>
      <c r="AH113" s="46" t="e">
        <f>IF($B$110,NA(),IF($Z$113=0,NA(),IF($AG$113,SUM($AC$113,$AF$113,$AD$113,$AE$113)/2,IF(OR($AF$113&lt;&gt;0,$AD$113&lt;&gt;0),$D$112+$AB$113,$D$112-$AA$113)+$Z$113/2)))</f>
        <v>#N/A</v>
      </c>
    </row>
    <row r="114" spans="1:34">
      <c r="A114" s="46"/>
      <c r="B114" s="46"/>
      <c r="C114" s="46" t="e">
        <f>#REF!</f>
        <v>#REF!</v>
      </c>
      <c r="D114" s="46" t="e">
        <f>SUM($D$113,$C$114)</f>
        <v>#REF!</v>
      </c>
      <c r="E114" s="46" t="e">
        <f>$D$113&gt;=0</f>
        <v>#REF!</v>
      </c>
      <c r="F114" s="46" t="e">
        <f>IF($B$110,AND($D$113&lt;=0,SUM($D$113,$C$114)&gt; 0),AND($D$113&lt;=0,SUM($D$113,$R$114)&gt; 0))</f>
        <v>#REF!</v>
      </c>
      <c r="G114" s="46" t="e">
        <f>IF($B$110,AND($D$113&gt;=0,SUM($D$113,$C$114)&lt; 0),AND($D$113&gt;=0,SUM($D$113,$Q$114)&lt; 0))</f>
        <v>#REF!</v>
      </c>
      <c r="H114" s="46" t="e">
        <f>OR($G$114,$F$114)</f>
        <v>#REF!</v>
      </c>
      <c r="I114" s="46" t="e">
        <f>IF($H$114,IF($G$114,"atb","bta"),IF($E$114,"nca","ncb"))</f>
        <v>#REF!</v>
      </c>
      <c r="J114" s="46" t="e">
        <f>IF($H$114,0,IF($B$110,IF($E$114,IF($C$114&gt;=0,$D$113,$D$113+$C$114),IF($C$114&gt;=0,$D$113+$C$114,$D$113)),IF($E$114,SUM($D$113,$Q$114),SUM($D$113,$R$114))))</f>
        <v>#REF!</v>
      </c>
      <c r="K114" s="46"/>
      <c r="L114" s="46"/>
      <c r="M114" s="46" t="e">
        <f>IF(COUNTIF(#REF!, "= 0")+ COUNTBLANK(#REF!) = 1,NA(),IF($B$110,NA(),IF($C$114&gt;=0,SUM($D$113,$R$114),NA())))</f>
        <v>#REF!</v>
      </c>
      <c r="N114" s="46" t="e">
        <f>IF(COUNTIF(#REF!, "= 0")+ COUNTBLANK(#REF!) = 1,NA(),IF($B$110,NA(),IF($C$114&gt;=0,NA(),SUM($D$113,$Q$114))))</f>
        <v>#REF!</v>
      </c>
      <c r="O114" s="46" t="e">
        <f>$C$114</f>
        <v>#REF!</v>
      </c>
      <c r="P114" s="46" t="e">
        <f>$C$114</f>
        <v>#REF!</v>
      </c>
      <c r="Q114" s="46">
        <f>SUMIF($Z$114:$Z$114,"&lt;0")</f>
        <v>0</v>
      </c>
      <c r="R114" s="46">
        <f>SUMIF($Z$114:$Z$114,"&gt;0")</f>
        <v>0</v>
      </c>
      <c r="S114" s="46" t="e">
        <f>IF($B$110,IF($I$114="nca",IF($C$114&gt;=0,0,ABS($C$114)),IF($I$114="ncb",0,IF($I$114="atb",IF($C$114&gt;=0,0,IF($D$113&lt;0,0,IF(ABS($C$114)&gt;$D$113,$D$113,ABS($C$114)))),IF($I$114="bta",0,"err")))),)</f>
        <v>#REF!</v>
      </c>
      <c r="T114" s="46" t="e">
        <f>IF($B$110,IF($I$114="nca",IF($C$114&lt;0,0,ABS($C$114)),IF($I$114="ncb",0,IF($I$114="atb",IF($C$114&lt;=0,0,$C$114),IF($I$114="bta",IF($C$114&lt;=0,0,$V$114+$C$114),"err")))),)</f>
        <v>#REF!</v>
      </c>
      <c r="U114" s="46" t="e">
        <f>IF($B$110,IF($I$114="nca",0,IF($I$114="ncb",IF($C$114&lt;=0,-ABS($C$114),0),IF($I$114="atb",IF($C$114&lt;0,$C$114+$S$114,0),IF($I$114="bta",IF($C$114&lt;=0,$C$114,0),"err")))),)</f>
        <v>#REF!</v>
      </c>
      <c r="V114" s="46" t="e">
        <f>IF($B$110,IF($I$114="nca",0,IF($I$114="ncb",IF($C$114&gt;=0,-ABS($C$114),0),IF($I$114="atb",0,IF($I$114="bta",IF($C$114&lt;=0,0,IF($D$113&gt;0,0,IF(ABS($C$114)&lt;ABS($D$113),-ABS($C$114),$D$113))),"err")))),)</f>
        <v>#REF!</v>
      </c>
      <c r="W114" s="46" t="e">
        <f>IF($C$114&gt;=0,IF($B$110,IF($C$114=0,NA(),$D$114),NA()),NA())</f>
        <v>#REF!</v>
      </c>
      <c r="X114" s="46" t="e">
        <f>IF($C$114&lt;0,IF($B$110,IF($C$114=0,NA(),$D$114),NA()),NA())</f>
        <v>#REF!</v>
      </c>
      <c r="Y114" s="46" t="e">
        <f>IF(IF($B$110,$C$111 = 0,COUNTIF(#REF!, "= 0")+ COUNTBLANK(#REF!) = 1),$Y$113,NA())</f>
        <v>#REF!</v>
      </c>
      <c r="Z114" s="46" t="e">
        <f>#REF!</f>
        <v>#REF!</v>
      </c>
      <c r="AA114" s="46">
        <v>0</v>
      </c>
      <c r="AB114" s="46">
        <v>0</v>
      </c>
      <c r="AC114" s="46">
        <f>IF($B$110,,IF($I$114="nca",IF($Z$114&gt;=0,0,ABS($Z$114)),IF($I$114="ncb",0,IF($I$114="atb",IF($Z$114&gt;=0,0,IF($D$113-$AA$114&lt;0,0,IF(ABS($Z$114)&gt;$D$113-$AA$114,$D$113-$AA$114,ABS($Z$114)))),IF($I$114="bta",0,"err")))))</f>
        <v>0</v>
      </c>
      <c r="AD114" s="46">
        <f>IF($B$110,,IF($I$114="nca",0,IF($I$114="ncb",IF($Z$114&gt;=0,-ABS($Z$114),0),IF($I$114="atb",0,IF($I$114="bta",IF($Z$114&lt;=0,0,IF($D$113+$AB$114&gt;0,0,IF(ABS($Z$114)&lt;ABS($D$113+$AB$114),-ABS($Z$114),$D$113+$AB$114))),"err")))))</f>
        <v>0</v>
      </c>
      <c r="AE114" s="46">
        <f>IF($B$110,,IF($I$114="nca",0,IF($I$114="ncb",IF($Z$114&lt;=0,-ABS($Z$114),0),IF($I$114="atb",IF($Z$114&lt;0,$Z$114+$AC$114,0),IF($I$114="bta",IF($Z$114&lt;=0,$Z$114,0),"err")))))</f>
        <v>0</v>
      </c>
      <c r="AF114" s="46">
        <f>IF($B$110,,IF($I$114="nca",IF($Z$114&lt;0,0,ABS($Z$114)),IF($I$114="ncb",0,IF($I$114="atb",IF($Z$114&lt;=0,0,$Z$114),IF($I$114="bta",IF($Z$114&lt;=0,0,$AD$114+$Z$114),"err")))))</f>
        <v>0</v>
      </c>
      <c r="AG114" s="46" t="b">
        <f>IF(SUM(COUNTIFS($AF$114,"&lt;&gt;0",$AF$114,"&lt;&gt;"),COUNTIFS($AC$114,"&lt;&gt;0",$AC$114,"&lt;&gt;"),COUNTIFS($AD$114,"&lt;&gt;0",$AD$114,"&lt;&gt;"),COUNTIFS($AE$114,"&lt;&gt;0",$AE$114,"&lt;&gt;"))=2,TRUE,FALSE)</f>
        <v>0</v>
      </c>
      <c r="AH114" s="46" t="e">
        <f>IF($B$110,NA(),IF($Z$114=0,NA(),IF($AG$114,SUM($AC$114,$AF$114,$AD$114,$AE$114)/2,IF(OR($AF$114&lt;&gt;0,$AD$114&lt;&gt;0),$D$113+$AB$114,$D$113-$AA$114)+$Z$114/2)))</f>
        <v>#N/A</v>
      </c>
    </row>
    <row r="115" spans="1:34">
      <c r="A115" s="46"/>
      <c r="B115" s="46"/>
      <c r="C115" s="46" t="e">
        <f>#REF!</f>
        <v>#REF!</v>
      </c>
      <c r="D115" s="46" t="e">
        <f>SUM($D$114,$C$115)</f>
        <v>#REF!</v>
      </c>
      <c r="E115" s="46" t="e">
        <f>$D$114&gt;=0</f>
        <v>#REF!</v>
      </c>
      <c r="F115" s="46" t="e">
        <f>IF($B$110,AND($D$114&lt;=0,SUM($D$114,$C$115)&gt; 0),AND($D$114&lt;=0,SUM($D$114,$R$115)&gt; 0))</f>
        <v>#REF!</v>
      </c>
      <c r="G115" s="46" t="e">
        <f>IF($B$110,AND($D$114&gt;=0,SUM($D$114,$C$115)&lt; 0),AND($D$114&gt;=0,SUM($D$114,$Q$115)&lt; 0))</f>
        <v>#REF!</v>
      </c>
      <c r="H115" s="46" t="e">
        <f>OR($G$115,$F$115)</f>
        <v>#REF!</v>
      </c>
      <c r="I115" s="46" t="e">
        <f>IF($H$115,IF($G$115,"atb","bta"),IF($E$115,"nca","ncb"))</f>
        <v>#REF!</v>
      </c>
      <c r="J115" s="46" t="e">
        <f>IF($H$115,0,IF($B$110,IF($E$115,IF($C$115&gt;=0,$D$114,$D$114+$C$115),IF($C$115&gt;=0,$D$114+$C$115,$D$114)),IF($E$115,SUM($D$114,$Q$115),SUM($D$114,$R$115))))</f>
        <v>#REF!</v>
      </c>
      <c r="K115" s="46"/>
      <c r="L115" s="46"/>
      <c r="M115" s="46" t="e">
        <f>IF(COUNTIF(#REF!, "= 0")+ COUNTBLANK(#REF!) = 1,NA(),IF($B$110,NA(),IF($C$115&gt;=0,SUM($D$114,$R$115),NA())))</f>
        <v>#REF!</v>
      </c>
      <c r="N115" s="46" t="e">
        <f>IF(COUNTIF(#REF!, "= 0")+ COUNTBLANK(#REF!) = 1,NA(),IF($B$110,NA(),IF($C$115&gt;=0,NA(),SUM($D$114,$Q$115))))</f>
        <v>#REF!</v>
      </c>
      <c r="O115" s="46" t="e">
        <f>$C$115</f>
        <v>#REF!</v>
      </c>
      <c r="P115" s="46" t="e">
        <f>$C$115</f>
        <v>#REF!</v>
      </c>
      <c r="Q115" s="46">
        <f>SUMIF($Z$115:$Z$115,"&lt;0")</f>
        <v>0</v>
      </c>
      <c r="R115" s="46">
        <f>SUMIF($Z$115:$Z$115,"&gt;0")</f>
        <v>0</v>
      </c>
      <c r="S115" s="46" t="e">
        <f>IF($B$110,IF($I$115="nca",IF($C$115&gt;=0,0,ABS($C$115)),IF($I$115="ncb",0,IF($I$115="atb",IF($C$115&gt;=0,0,IF($D$114&lt;0,0,IF(ABS($C$115)&gt;$D$114,$D$114,ABS($C$115)))),IF($I$115="bta",0,"err")))),)</f>
        <v>#REF!</v>
      </c>
      <c r="T115" s="46" t="e">
        <f>IF($B$110,IF($I$115="nca",IF($C$115&lt;0,0,ABS($C$115)),IF($I$115="ncb",0,IF($I$115="atb",IF($C$115&lt;=0,0,$C$115),IF($I$115="bta",IF($C$115&lt;=0,0,$V$115+$C$115),"err")))),)</f>
        <v>#REF!</v>
      </c>
      <c r="U115" s="46" t="e">
        <f>IF($B$110,IF($I$115="nca",0,IF($I$115="ncb",IF($C$115&lt;=0,-ABS($C$115),0),IF($I$115="atb",IF($C$115&lt;0,$C$115+$S$115,0),IF($I$115="bta",IF($C$115&lt;=0,$C$115,0),"err")))),)</f>
        <v>#REF!</v>
      </c>
      <c r="V115" s="46" t="e">
        <f>IF($B$110,IF($I$115="nca",0,IF($I$115="ncb",IF($C$115&gt;=0,-ABS($C$115),0),IF($I$115="atb",0,IF($I$115="bta",IF($C$115&lt;=0,0,IF($D$114&gt;0,0,IF(ABS($C$115)&lt;ABS($D$114),-ABS($C$115),$D$114))),"err")))),)</f>
        <v>#REF!</v>
      </c>
      <c r="W115" s="46" t="e">
        <f>IF($C$115&gt;=0,IF($B$110,IF($C$115=0,NA(),$D$115),NA()),NA())</f>
        <v>#REF!</v>
      </c>
      <c r="X115" s="46" t="e">
        <f>IF($C$115&lt;0,IF($B$110,IF($C$115=0,NA(),$D$115),NA()),NA())</f>
        <v>#REF!</v>
      </c>
      <c r="Y115" s="46" t="e">
        <f>$D$111</f>
        <v>#REF!</v>
      </c>
      <c r="Z115" s="46" t="e">
        <f>#REF!</f>
        <v>#REF!</v>
      </c>
      <c r="AA115" s="46">
        <v>0</v>
      </c>
      <c r="AB115" s="46">
        <v>0</v>
      </c>
      <c r="AC115" s="46">
        <f>IF($B$110,,IF($I$115="nca",IF($Z$115&gt;=0,0,ABS($Z$115)),IF($I$115="ncb",0,IF($I$115="atb",IF($Z$115&gt;=0,0,IF($D$114-$AA$115&lt;0,0,IF(ABS($Z$115)&gt;$D$114-$AA$115,$D$114-$AA$115,ABS($Z$115)))),IF($I$115="bta",0,"err")))))</f>
        <v>0</v>
      </c>
      <c r="AD115" s="46">
        <f>IF($B$110,,IF($I$115="nca",0,IF($I$115="ncb",IF($Z$115&gt;=0,-ABS($Z$115),0),IF($I$115="atb",0,IF($I$115="bta",IF($Z$115&lt;=0,0,IF($D$114+$AB$115&gt;0,0,IF(ABS($Z$115)&lt;ABS($D$114+$AB$115),-ABS($Z$115),$D$114+$AB$115))),"err")))))</f>
        <v>0</v>
      </c>
      <c r="AE115" s="46">
        <f>IF($B$110,,IF($I$115="nca",0,IF($I$115="ncb",IF($Z$115&lt;=0,-ABS($Z$115),0),IF($I$115="atb",IF($Z$115&lt;0,$Z$115+$AC$115,0),IF($I$115="bta",IF($Z$115&lt;=0,$Z$115,0),"err")))))</f>
        <v>0</v>
      </c>
      <c r="AF115" s="46">
        <f>IF($B$110,,IF($I$115="nca",IF($Z$115&lt;0,0,ABS($Z$115)),IF($I$115="ncb",0,IF($I$115="atb",IF($Z$115&lt;=0,0,$Z$115),IF($I$115="bta",IF($Z$115&lt;=0,0,$AD$115+$Z$115),"err")))))</f>
        <v>0</v>
      </c>
      <c r="AG115" s="46" t="b">
        <f>IF(SUM(COUNTIFS($AF$115,"&lt;&gt;0",$AF$115,"&lt;&gt;"),COUNTIFS($AC$115,"&lt;&gt;0",$AC$115,"&lt;&gt;"),COUNTIFS($AD$115,"&lt;&gt;0",$AD$115,"&lt;&gt;"),COUNTIFS($AE$115,"&lt;&gt;0",$AE$115,"&lt;&gt;"))=2,TRUE,FALSE)</f>
        <v>0</v>
      </c>
      <c r="AH115" s="46" t="e">
        <f>IF($B$110,NA(),IF($Z$115=0,NA(),IF($AG$115,SUM($AC$115,$AF$115,$AD$115,$AE$115)/2,IF(OR($AF$115&lt;&gt;0,$AD$115&lt;&gt;0),$D$114+$AB$115,$D$114-$AA$115)+$Z$115/2)))</f>
        <v>#N/A</v>
      </c>
    </row>
    <row r="116" spans="1:34">
      <c r="A116" s="46"/>
      <c r="B116" s="46"/>
      <c r="C116" s="46" t="e">
        <f>#REF!</f>
        <v>#REF!</v>
      </c>
      <c r="D116" s="46" t="e">
        <f>SUM($D$115,$C$116)</f>
        <v>#REF!</v>
      </c>
      <c r="E116" s="46" t="e">
        <f>$D$115&gt;=0</f>
        <v>#REF!</v>
      </c>
      <c r="F116" s="46" t="e">
        <f>IF($B$110,AND($D$115&lt;=0,SUM($D$115,$C$116)&gt; 0),AND($D$115&lt;=0,SUM($D$115,$R$116)&gt; 0))</f>
        <v>#REF!</v>
      </c>
      <c r="G116" s="46" t="e">
        <f>IF($B$110,AND($D$115&gt;=0,SUM($D$115,$C$116)&lt; 0),AND($D$115&gt;=0,SUM($D$115,$Q$116)&lt; 0))</f>
        <v>#REF!</v>
      </c>
      <c r="H116" s="46" t="e">
        <f>OR($G$116,$F$116)</f>
        <v>#REF!</v>
      </c>
      <c r="I116" s="46" t="e">
        <f>IF($H$116,IF($G$116,"atb","bta"),IF($E$116,"nca","ncb"))</f>
        <v>#REF!</v>
      </c>
      <c r="J116" s="46" t="e">
        <f>IF($H$116,0,IF($B$110,IF($E$116,IF($C$116&gt;=0,$D$115,$D$115+$C$116),IF($C$116&gt;=0,$D$115+$C$116,$D$115)),IF($E$116,SUM($D$115,$Q$116),SUM($D$115,$R$116))))</f>
        <v>#REF!</v>
      </c>
      <c r="K116" s="46"/>
      <c r="L116" s="46"/>
      <c r="M116" s="46" t="e">
        <f>IF(COUNTIF(#REF!, "= 0")+ COUNTBLANK(#REF!) = 1,NA(),IF($B$110,NA(),IF($C$116&gt;=0,SUM($D$115,$R$116),NA())))</f>
        <v>#REF!</v>
      </c>
      <c r="N116" s="46" t="e">
        <f>IF(COUNTIF(#REF!, "= 0")+ COUNTBLANK(#REF!) = 1,NA(),IF($B$110,NA(),IF($C$116&gt;=0,NA(),SUM($D$115,$Q$116))))</f>
        <v>#REF!</v>
      </c>
      <c r="O116" s="46" t="e">
        <f>$C$116</f>
        <v>#REF!</v>
      </c>
      <c r="P116" s="46" t="e">
        <f>$C$116</f>
        <v>#REF!</v>
      </c>
      <c r="Q116" s="46">
        <f>SUMIF($Z$116:$Z$116,"&lt;0")</f>
        <v>0</v>
      </c>
      <c r="R116" s="46">
        <f>SUMIF($Z$116:$Z$116,"&gt;0")</f>
        <v>0</v>
      </c>
      <c r="S116" s="46" t="e">
        <f>IF($B$110,IF($I$116="nca",IF($C$116&gt;=0,0,ABS($C$116)),IF($I$116="ncb",0,IF($I$116="atb",IF($C$116&gt;=0,0,IF($D$115&lt;0,0,IF(ABS($C$116)&gt;$D$115,$D$115,ABS($C$116)))),IF($I$116="bta",0,"err")))),)</f>
        <v>#REF!</v>
      </c>
      <c r="T116" s="46" t="e">
        <f>IF($B$110,IF($I$116="nca",IF($C$116&lt;0,0,ABS($C$116)),IF($I$116="ncb",0,IF($I$116="atb",IF($C$116&lt;=0,0,$C$116),IF($I$116="bta",IF($C$116&lt;=0,0,$V$116+$C$116),"err")))),)</f>
        <v>#REF!</v>
      </c>
      <c r="U116" s="46" t="e">
        <f>IF($B$110,IF($I$116="nca",0,IF($I$116="ncb",IF($C$116&lt;=0,-ABS($C$116),0),IF($I$116="atb",IF($C$116&lt;0,$C$116+$S$116,0),IF($I$116="bta",IF($C$116&lt;=0,$C$116,0),"err")))),)</f>
        <v>#REF!</v>
      </c>
      <c r="V116" s="46" t="e">
        <f>IF($B$110,IF($I$116="nca",0,IF($I$116="ncb",IF($C$116&gt;=0,-ABS($C$116),0),IF($I$116="atb",0,IF($I$116="bta",IF($C$116&lt;=0,0,IF($D$115&gt;0,0,IF(ABS($C$116)&lt;ABS($D$115),-ABS($C$116),$D$115))),"err")))),)</f>
        <v>#REF!</v>
      </c>
      <c r="W116" s="46" t="e">
        <f>IF($C$116&gt;=0,IF($B$110,IF($C$116=0,NA(),$D$116),NA()),NA())</f>
        <v>#REF!</v>
      </c>
      <c r="X116" s="46" t="e">
        <f>IF($C$116&lt;0,IF($B$110,IF($C$116=0,NA(),$D$116),NA()),NA())</f>
        <v>#REF!</v>
      </c>
      <c r="Y116" s="46" t="e">
        <f>$D$111</f>
        <v>#REF!</v>
      </c>
      <c r="Z116" s="46" t="e">
        <f>#REF!</f>
        <v>#REF!</v>
      </c>
      <c r="AA116" s="46">
        <v>0</v>
      </c>
      <c r="AB116" s="46">
        <v>0</v>
      </c>
      <c r="AC116" s="46">
        <f>IF($B$110,,IF($I$116="nca",IF($Z$116&gt;=0,0,ABS($Z$116)),IF($I$116="ncb",0,IF($I$116="atb",IF($Z$116&gt;=0,0,IF($D$115-$AA$116&lt;0,0,IF(ABS($Z$116)&gt;$D$115-$AA$116,$D$115-$AA$116,ABS($Z$116)))),IF($I$116="bta",0,"err")))))</f>
        <v>0</v>
      </c>
      <c r="AD116" s="46">
        <f>IF($B$110,,IF($I$116="nca",0,IF($I$116="ncb",IF($Z$116&gt;=0,-ABS($Z$116),0),IF($I$116="atb",0,IF($I$116="bta",IF($Z$116&lt;=0,0,IF($D$115+$AB$116&gt;0,0,IF(ABS($Z$116)&lt;ABS($D$115+$AB$116),-ABS($Z$116),$D$115+$AB$116))),"err")))))</f>
        <v>0</v>
      </c>
      <c r="AE116" s="46">
        <f>IF($B$110,,IF($I$116="nca",0,IF($I$116="ncb",IF($Z$116&lt;=0,-ABS($Z$116),0),IF($I$116="atb",IF($Z$116&lt;0,$Z$116+$AC$116,0),IF($I$116="bta",IF($Z$116&lt;=0,$Z$116,0),"err")))))</f>
        <v>0</v>
      </c>
      <c r="AF116" s="46">
        <f>IF($B$110,,IF($I$116="nca",IF($Z$116&lt;0,0,ABS($Z$116)),IF($I$116="ncb",0,IF($I$116="atb",IF($Z$116&lt;=0,0,$Z$116),IF($I$116="bta",IF($Z$116&lt;=0,0,$AD$116+$Z$116),"err")))))</f>
        <v>0</v>
      </c>
      <c r="AG116" s="46" t="b">
        <f>IF(SUM(COUNTIFS($AF$116,"&lt;&gt;0",$AF$116,"&lt;&gt;"),COUNTIFS($AC$116,"&lt;&gt;0",$AC$116,"&lt;&gt;"),COUNTIFS($AD$116,"&lt;&gt;0",$AD$116,"&lt;&gt;"),COUNTIFS($AE$116,"&lt;&gt;0",$AE$116,"&lt;&gt;"))=2,TRUE,FALSE)</f>
        <v>0</v>
      </c>
      <c r="AH116" s="46" t="e">
        <f>IF($B$110,NA(),IF($Z$116=0,NA(),IF($AG$116,SUM($AC$116,$AF$116,$AD$116,$AE$116)/2,IF(OR($AF$116&lt;&gt;0,$AD$116&lt;&gt;0),$D$115+$AB$116,$D$115-$AA$116)+$Z$116/2)))</f>
        <v>#N/A</v>
      </c>
    </row>
    <row r="117" spans="1:34">
      <c r="A117" s="46"/>
      <c r="B117" s="46"/>
      <c r="C117" s="46" t="e">
        <f>#REF!</f>
        <v>#REF!</v>
      </c>
      <c r="D117" s="46" t="e">
        <f>$C$117</f>
        <v>#REF!</v>
      </c>
      <c r="E117" s="46"/>
      <c r="F117" s="46"/>
      <c r="G117" s="46"/>
      <c r="H117" s="46"/>
      <c r="I117" s="46"/>
      <c r="J117" s="46"/>
      <c r="K117" s="46" t="e">
        <f>IF(COUNTIF(#REF!, "= 0")+ COUNTBLANK(#REF!) = 1,NA(),IF($B$109,$D$117,NA()))</f>
        <v>#REF!</v>
      </c>
      <c r="L117" s="46" t="e">
        <f>$D$117</f>
        <v>#REF!</v>
      </c>
      <c r="M117" s="46" t="e">
        <f>IF(COUNTIF(#REF!, "= 0")+ COUNTBLANK(#REF!) = 1,NA(),IF($B$109,NA(),IF($C$117&gt;= 0,$R$117,NA())))</f>
        <v>#REF!</v>
      </c>
      <c r="N117" s="46" t="e">
        <f>IF(COUNTIF(#REF!, "= 0")+ COUNTBLANK(#REF!) = 1,NA(),IF($B$109,NA(),IF($C$117&lt;= 0,$Q$117,NA())))</f>
        <v>#REF!</v>
      </c>
      <c r="O117" s="46" t="e">
        <f>$C$117</f>
        <v>#REF!</v>
      </c>
      <c r="P117" s="46" t="e">
        <f>$C$117</f>
        <v>#REF!</v>
      </c>
      <c r="Q117" s="46">
        <f>SUMIF($Z$117:$Z$117,"&lt;0")</f>
        <v>0</v>
      </c>
      <c r="R117" s="46">
        <f>SUMIF($Z$117:$Z$117,"&gt;0")</f>
        <v>0</v>
      </c>
      <c r="S117" s="46"/>
      <c r="T117" s="46"/>
      <c r="U117" s="46"/>
      <c r="V117" s="46"/>
      <c r="W117" s="46"/>
      <c r="X117" s="46"/>
      <c r="Y117" s="46" t="e">
        <f>IF(IF($B$110,$C$112 = 0,COUNTIF(#REF!, "= 0")+ COUNTBLANK(#REF!) = 1),$Y$116,NA())</f>
        <v>#REF!</v>
      </c>
      <c r="Z117" s="46" t="e">
        <f>#REF!</f>
        <v>#REF!</v>
      </c>
      <c r="AA117" s="46">
        <v>0</v>
      </c>
      <c r="AB117" s="46">
        <v>0</v>
      </c>
      <c r="AC117" s="46"/>
      <c r="AD117" s="46"/>
      <c r="AE117" s="46">
        <f>IF($B$109,,IF($Z$117 &lt; 0,$Z$117,))</f>
        <v>0</v>
      </c>
      <c r="AF117" s="46">
        <f>IF($B$109,,IF($Z$117 &gt; 0,$Z$117,))</f>
        <v>0</v>
      </c>
      <c r="AG117" s="46"/>
      <c r="AH117" s="46" t="e">
        <f>IF($B$109,NA(),IF($Z$117 = 0,NA(),IF($Z$117 &gt; 0,$AB$117 + $Z$117/2,-$AA$117 + $Z$117/2)))</f>
        <v>#N/A</v>
      </c>
    </row>
    <row r="118" spans="1:34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 t="e">
        <f>$D$112</f>
        <v>#REF!</v>
      </c>
      <c r="Z118" s="46"/>
      <c r="AA118" s="46"/>
      <c r="AB118" s="46"/>
      <c r="AC118" s="46"/>
      <c r="AD118" s="46"/>
      <c r="AE118" s="46"/>
      <c r="AF118" s="46"/>
      <c r="AG118" s="46"/>
      <c r="AH118" s="46"/>
    </row>
    <row r="119" spans="1:34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 t="e">
        <f>$D$112</f>
        <v>#REF!</v>
      </c>
      <c r="Z119" s="46"/>
      <c r="AA119" s="46"/>
      <c r="AB119" s="46"/>
      <c r="AC119" s="46"/>
      <c r="AD119" s="46"/>
      <c r="AE119" s="46"/>
      <c r="AF119" s="46"/>
      <c r="AG119" s="46"/>
      <c r="AH119" s="46"/>
    </row>
    <row r="120" spans="1:34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 t="e">
        <f>IF(IF($B$110,$C$113 = 0,COUNTIF(#REF!, "= 0")+ COUNTBLANK(#REF!) = 1),$Y$119,NA())</f>
        <v>#REF!</v>
      </c>
      <c r="Z120" s="46"/>
      <c r="AA120" s="46"/>
      <c r="AB120" s="46"/>
      <c r="AC120" s="46"/>
      <c r="AD120" s="46"/>
      <c r="AE120" s="46"/>
      <c r="AF120" s="46"/>
      <c r="AG120" s="46"/>
      <c r="AH120" s="46"/>
    </row>
    <row r="121" spans="1:34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 t="e">
        <f>$D$113</f>
        <v>#REF!</v>
      </c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 t="e">
        <f>$D$113</f>
        <v>#REF!</v>
      </c>
      <c r="Z122" s="46"/>
      <c r="AA122" s="46"/>
      <c r="AB122" s="46"/>
      <c r="AC122" s="46"/>
      <c r="AD122" s="46"/>
      <c r="AE122" s="46"/>
      <c r="AF122" s="46"/>
      <c r="AG122" s="46"/>
      <c r="AH122" s="46"/>
    </row>
    <row r="123" spans="1:34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 t="e">
        <f>IF(IF($B$110,$C$114 = 0,COUNTIF(#REF!, "= 0")+ COUNTBLANK(#REF!) = 1),$Y$122,NA())</f>
        <v>#REF!</v>
      </c>
      <c r="Z123" s="46"/>
      <c r="AA123" s="46"/>
      <c r="AB123" s="46"/>
      <c r="AC123" s="46"/>
      <c r="AD123" s="46"/>
      <c r="AE123" s="46"/>
      <c r="AF123" s="46"/>
      <c r="AG123" s="46"/>
      <c r="AH123" s="46"/>
    </row>
    <row r="124" spans="1:3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 t="e">
        <f>$D$114</f>
        <v>#REF!</v>
      </c>
      <c r="Z124" s="46"/>
      <c r="AA124" s="46"/>
      <c r="AB124" s="46"/>
      <c r="AC124" s="46"/>
      <c r="AD124" s="46"/>
      <c r="AE124" s="46"/>
      <c r="AF124" s="46"/>
      <c r="AG124" s="46"/>
      <c r="AH124" s="46"/>
    </row>
    <row r="125" spans="1:34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 t="e">
        <f>$D$114</f>
        <v>#REF!</v>
      </c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 t="e">
        <f>IF(IF($B$110,$C$115 = 0,COUNTIF(#REF!, "= 0")+ COUNTBLANK(#REF!) = 1),$Y$125,NA())</f>
        <v>#REF!</v>
      </c>
      <c r="Z126" s="46"/>
      <c r="AA126" s="46"/>
      <c r="AB126" s="46"/>
      <c r="AC126" s="46"/>
      <c r="AD126" s="46"/>
      <c r="AE126" s="46"/>
      <c r="AF126" s="46"/>
      <c r="AG126" s="46"/>
      <c r="AH126" s="46"/>
    </row>
    <row r="127" spans="1:34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 t="e">
        <f>$D$115</f>
        <v>#REF!</v>
      </c>
      <c r="Z127" s="46"/>
      <c r="AA127" s="46"/>
      <c r="AB127" s="46"/>
      <c r="AC127" s="46"/>
      <c r="AD127" s="46"/>
      <c r="AE127" s="46"/>
      <c r="AF127" s="46"/>
      <c r="AG127" s="46"/>
      <c r="AH127" s="46"/>
    </row>
    <row r="128" spans="1:34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 t="e">
        <f>$D$115</f>
        <v>#REF!</v>
      </c>
      <c r="Z128" s="46"/>
      <c r="AA128" s="46"/>
      <c r="AB128" s="46"/>
      <c r="AC128" s="46"/>
      <c r="AD128" s="46"/>
      <c r="AE128" s="46"/>
      <c r="AF128" s="46"/>
      <c r="AG128" s="46"/>
      <c r="AH128" s="46"/>
    </row>
    <row r="129" spans="1:34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 t="e">
        <f>IF(IF($B$110,$C$116 = 0,COUNTIF(#REF!, "= 0")+ COUNTBLANK(#REF!) = 1),$Y$128,NA())</f>
        <v>#REF!</v>
      </c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 t="e">
        <f>$D$116</f>
        <v>#REF!</v>
      </c>
      <c r="Z130" s="46"/>
      <c r="AA130" s="46"/>
      <c r="AB130" s="46"/>
      <c r="AC130" s="46"/>
      <c r="AD130" s="46"/>
      <c r="AE130" s="46"/>
      <c r="AF130" s="46"/>
      <c r="AG130" s="46"/>
      <c r="AH130" s="46"/>
    </row>
    <row r="131" spans="1:34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 t="e">
        <f>$D$116</f>
        <v>#REF!</v>
      </c>
      <c r="Z131" s="46"/>
      <c r="AA131" s="46"/>
      <c r="AB131" s="46"/>
      <c r="AC131" s="46"/>
      <c r="AD131" s="46"/>
      <c r="AE131" s="46"/>
      <c r="AF131" s="46"/>
      <c r="AG131" s="46"/>
      <c r="AH131" s="46"/>
    </row>
    <row r="132" spans="1:34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 t="e">
        <f>IF(IF($B$110,$C$117 = 0,COUNTIF(#REF!, "= 0")+ COUNTBLANK(#REF!) = 1),$Y$131,NA())</f>
        <v>#REF!</v>
      </c>
      <c r="Z132" s="46"/>
      <c r="AA132" s="46"/>
      <c r="AB132" s="46"/>
      <c r="AC132" s="46"/>
      <c r="AD132" s="46"/>
      <c r="AE132" s="46"/>
      <c r="AF132" s="46"/>
      <c r="AG132" s="46"/>
      <c r="AH132" s="46"/>
    </row>
    <row r="134" spans="1:34">
      <c r="A134" s="46" t="s">
        <v>93</v>
      </c>
      <c r="B134" s="46" t="s">
        <v>94</v>
      </c>
      <c r="C134" s="46" t="s">
        <v>95</v>
      </c>
      <c r="D134" s="46" t="s">
        <v>96</v>
      </c>
      <c r="E134" s="46" t="s">
        <v>97</v>
      </c>
      <c r="F134" s="46" t="s">
        <v>98</v>
      </c>
      <c r="G134" s="46" t="s">
        <v>99</v>
      </c>
      <c r="H134" s="46" t="s">
        <v>100</v>
      </c>
      <c r="I134" s="46" t="s">
        <v>101</v>
      </c>
      <c r="J134" s="46" t="s">
        <v>102</v>
      </c>
      <c r="K134" s="46" t="s">
        <v>103</v>
      </c>
      <c r="L134" s="46" t="s">
        <v>104</v>
      </c>
      <c r="M134" s="46" t="s">
        <v>105</v>
      </c>
      <c r="N134" s="46" t="s">
        <v>106</v>
      </c>
      <c r="O134" s="46" t="s">
        <v>107</v>
      </c>
      <c r="P134" s="46" t="s">
        <v>108</v>
      </c>
      <c r="Q134" s="46" t="s">
        <v>109</v>
      </c>
      <c r="R134" s="46" t="s">
        <v>110</v>
      </c>
      <c r="S134" s="46" t="s">
        <v>111</v>
      </c>
      <c r="T134" s="46" t="s">
        <v>112</v>
      </c>
      <c r="U134" s="46" t="s">
        <v>113</v>
      </c>
      <c r="V134" s="46" t="s">
        <v>114</v>
      </c>
      <c r="W134" s="46" t="s">
        <v>115</v>
      </c>
      <c r="X134" s="46" t="s">
        <v>116</v>
      </c>
      <c r="Y134" s="46" t="s">
        <v>117</v>
      </c>
      <c r="Z134" s="46" t="s">
        <v>118</v>
      </c>
      <c r="AA134" s="46" t="s">
        <v>119</v>
      </c>
      <c r="AB134" s="46" t="s">
        <v>120</v>
      </c>
      <c r="AC134" s="46" t="s">
        <v>121</v>
      </c>
      <c r="AD134" s="46" t="s">
        <v>122</v>
      </c>
      <c r="AE134" s="46" t="s">
        <v>123</v>
      </c>
      <c r="AF134" s="46" t="s">
        <v>124</v>
      </c>
      <c r="AG134" s="46" t="s">
        <v>125</v>
      </c>
      <c r="AH134" s="46" t="s">
        <v>126</v>
      </c>
    </row>
    <row r="135" spans="1:34">
      <c r="A135" s="46">
        <v>4</v>
      </c>
      <c r="B135" s="46" t="b">
        <v>1</v>
      </c>
      <c r="C135" s="46" t="e">
        <f>#REF!</f>
        <v>#REF!</v>
      </c>
      <c r="D135" s="46" t="e">
        <f>$C$135</f>
        <v>#REF!</v>
      </c>
      <c r="E135" s="46"/>
      <c r="F135" s="46"/>
      <c r="G135" s="46"/>
      <c r="H135" s="46"/>
      <c r="I135" s="46"/>
      <c r="J135" s="46"/>
      <c r="K135" s="46" t="e">
        <f>IF(COUNTIF(#REF!, "= 0")+ COUNTBLANK(#REF!) = 1,NA(),IF($B$135,$D$135,NA()))</f>
        <v>#REF!</v>
      </c>
      <c r="L135" s="46" t="e">
        <f>$D$135</f>
        <v>#REF!</v>
      </c>
      <c r="M135" s="46" t="e">
        <f>IF(COUNTIF(#REF!, "= 0")+ COUNTBLANK(#REF!) = 1,NA(),IF($B$135,NA(),IF($C$135&gt;= 0,$R$135,NA())))</f>
        <v>#REF!</v>
      </c>
      <c r="N135" s="46" t="e">
        <f>IF(COUNTIF(#REF!, "= 0")+ COUNTBLANK(#REF!) = 1,NA(),IF($B$135,NA(),IF($C$135&lt;= 0,$Q$135,NA())))</f>
        <v>#REF!</v>
      </c>
      <c r="O135" s="46" t="e">
        <f>$C$135</f>
        <v>#REF!</v>
      </c>
      <c r="P135" s="46" t="e">
        <f>$C$135</f>
        <v>#REF!</v>
      </c>
      <c r="Q135" s="46">
        <f>SUMIF($Z$135:$Z$135,"&lt;0")</f>
        <v>0</v>
      </c>
      <c r="R135" s="46">
        <f>SUMIF($Z$135:$Z$135,"&gt;0")</f>
        <v>0</v>
      </c>
      <c r="S135" s="46"/>
      <c r="T135" s="46"/>
      <c r="U135" s="46"/>
      <c r="V135" s="46"/>
      <c r="W135" s="46"/>
      <c r="X135" s="46"/>
      <c r="Y135" s="46" t="e">
        <f>$D$135</f>
        <v>#REF!</v>
      </c>
      <c r="Z135" s="46" t="e">
        <f>#REF!</f>
        <v>#REF!</v>
      </c>
      <c r="AA135" s="46">
        <v>0</v>
      </c>
      <c r="AB135" s="46">
        <v>0</v>
      </c>
      <c r="AC135" s="46"/>
      <c r="AD135" s="46"/>
      <c r="AE135" s="46">
        <f>IF($B$135,,IF($Z$135 &lt; 0,$Z$135,))</f>
        <v>0</v>
      </c>
      <c r="AF135" s="46">
        <f>IF($B$135,,IF($Z$135 &gt; 0,$Z$135,))</f>
        <v>0</v>
      </c>
      <c r="AG135" s="46"/>
      <c r="AH135" s="46" t="e">
        <f>IF($B$135,NA(),IF($Z$135 = 0,NA(),IF($Z$135 &gt; 0,$AB$135 + $Z$135/2,-$AA$135 + $Z$135/2)))</f>
        <v>#N/A</v>
      </c>
    </row>
    <row r="136" spans="1:34">
      <c r="A136" s="46"/>
      <c r="B136" s="46" t="b">
        <v>1</v>
      </c>
      <c r="C136" s="46" t="e">
        <f>#REF!</f>
        <v>#REF!</v>
      </c>
      <c r="D136" s="46" t="e">
        <f>SUM($D$135,$C$136)</f>
        <v>#REF!</v>
      </c>
      <c r="E136" s="46" t="e">
        <f>$D$135&gt;=0</f>
        <v>#REF!</v>
      </c>
      <c r="F136" s="46" t="e">
        <f>IF($B$136,AND($D$135&lt;=0,SUM($D$135,$C$136)&gt; 0),AND($D$135&lt;=0,SUM($D$135,$R$136)&gt; 0))</f>
        <v>#REF!</v>
      </c>
      <c r="G136" s="46" t="e">
        <f>IF($B$136,AND($D$135&gt;=0,SUM($D$135,$C$136)&lt; 0),AND($D$135&gt;=0,SUM($D$135,$Q$136)&lt; 0))</f>
        <v>#REF!</v>
      </c>
      <c r="H136" s="46" t="e">
        <f>OR($G$136,$F$136)</f>
        <v>#REF!</v>
      </c>
      <c r="I136" s="46" t="e">
        <f>IF($H$136,IF($G$136,"atb","bta"),IF($E$136,"nca","ncb"))</f>
        <v>#REF!</v>
      </c>
      <c r="J136" s="46" t="e">
        <f>IF($H$136,0,IF($B$136,IF($E$136,IF($C$136&gt;=0,$D$135,$D$135+$C$136),IF($C$136&gt;=0,$D$135+$C$136,$D$135)),IF($E$136,SUM($D$135,$Q$136),SUM($D$135,$R$136))))</f>
        <v>#REF!</v>
      </c>
      <c r="K136" s="46"/>
      <c r="L136" s="46"/>
      <c r="M136" s="46" t="e">
        <f>IF(COUNTIF(#REF!, "= 0")+ COUNTBLANK(#REF!) = 1,NA(),IF($B$136,NA(),IF($C$136&gt;=0,SUM($D$135,$R$136),NA())))</f>
        <v>#REF!</v>
      </c>
      <c r="N136" s="46" t="e">
        <f>IF(COUNTIF(#REF!, "= 0")+ COUNTBLANK(#REF!) = 1,NA(),IF($B$136,NA(),IF($C$136&gt;=0,NA(),SUM($D$135,$Q$136))))</f>
        <v>#REF!</v>
      </c>
      <c r="O136" s="46" t="e">
        <f>$C$136</f>
        <v>#REF!</v>
      </c>
      <c r="P136" s="46" t="e">
        <f>$C$136</f>
        <v>#REF!</v>
      </c>
      <c r="Q136" s="46">
        <f>SUMIF($Z$136:$Z$136,"&lt;0")</f>
        <v>0</v>
      </c>
      <c r="R136" s="46">
        <f>SUMIF($Z$136:$Z$136,"&gt;0")</f>
        <v>0</v>
      </c>
      <c r="S136" s="46" t="e">
        <f>IF($B$136,IF($I$136="nca",IF($C$136&gt;=0,0,ABS($C$136)),IF($I$136="ncb",0,IF($I$136="atb",IF($C$136&gt;=0,0,IF($D$135&lt;0,0,IF(ABS($C$136)&gt;$D$135,$D$135,ABS($C$136)))),IF($I$136="bta",0,"err")))),)</f>
        <v>#REF!</v>
      </c>
      <c r="T136" s="46" t="e">
        <f>IF($B$136,IF($I$136="nca",IF($C$136&lt;0,0,ABS($C$136)),IF($I$136="ncb",0,IF($I$136="atb",IF($C$136&lt;=0,0,$C$136),IF($I$136="bta",IF($C$136&lt;=0,0,$V$136+$C$136),"err")))),)</f>
        <v>#REF!</v>
      </c>
      <c r="U136" s="46" t="e">
        <f>IF($B$136,IF($I$136="nca",0,IF($I$136="ncb",IF($C$136&lt;=0,-ABS($C$136),0),IF($I$136="atb",IF($C$136&lt;0,$C$136+$S$136,0),IF($I$136="bta",IF($C$136&lt;=0,$C$136,0),"err")))),)</f>
        <v>#REF!</v>
      </c>
      <c r="V136" s="46" t="e">
        <f>IF($B$136,IF($I$136="nca",0,IF($I$136="ncb",IF($C$136&gt;=0,-ABS($C$136),0),IF($I$136="atb",0,IF($I$136="bta",IF($C$136&lt;=0,0,IF($D$135&gt;0,0,IF(ABS($C$136)&lt;ABS($D$135),-ABS($C$136),$D$135))),"err")))),)</f>
        <v>#REF!</v>
      </c>
      <c r="W136" s="46" t="e">
        <f>IF($C$136&gt;=0,IF($B$136,IF($C$136=0,NA(),$D$136),NA()),NA())</f>
        <v>#REF!</v>
      </c>
      <c r="X136" s="46" t="e">
        <f>IF($C$136&lt;0,IF($B$136,IF($C$136=0,NA(),$D$136),NA()),NA())</f>
        <v>#REF!</v>
      </c>
      <c r="Y136" s="46" t="e">
        <f>$D$135</f>
        <v>#REF!</v>
      </c>
      <c r="Z136" s="46" t="e">
        <f>#REF!</f>
        <v>#REF!</v>
      </c>
      <c r="AA136" s="46">
        <v>0</v>
      </c>
      <c r="AB136" s="46">
        <v>0</v>
      </c>
      <c r="AC136" s="46">
        <f>IF($B$136,,IF($I$136="nca",IF($Z$136&gt;=0,0,ABS($Z$136)),IF($I$136="ncb",0,IF($I$136="atb",IF($Z$136&gt;=0,0,IF($D$135-$AA$136&lt;0,0,IF(ABS($Z$136)&gt;$D$135-$AA$136,$D$135-$AA$136,ABS($Z$136)))),IF($I$136="bta",0,"err")))))</f>
        <v>0</v>
      </c>
      <c r="AD136" s="46">
        <f>IF($B$136,,IF($I$136="nca",0,IF($I$136="ncb",IF($Z$136&gt;=0,-ABS($Z$136),0),IF($I$136="atb",0,IF($I$136="bta",IF($Z$136&lt;=0,0,IF($D$135+$AB$136&gt;0,0,IF(ABS($Z$136)&lt;ABS($D$135+$AB$136),-ABS($Z$136),$D$135+$AB$136))),"err")))))</f>
        <v>0</v>
      </c>
      <c r="AE136" s="46">
        <f>IF($B$136,,IF($I$136="nca",0,IF($I$136="ncb",IF($Z$136&lt;=0,-ABS($Z$136),0),IF($I$136="atb",IF($Z$136&lt;0,$Z$136+$AC$136,0),IF($I$136="bta",IF($Z$136&lt;=0,$Z$136,0),"err")))))</f>
        <v>0</v>
      </c>
      <c r="AF136" s="46">
        <f>IF($B$136,,IF($I$136="nca",IF($Z$136&lt;0,0,ABS($Z$136)),IF($I$136="ncb",0,IF($I$136="atb",IF($Z$136&lt;=0,0,$Z$136),IF($I$136="bta",IF($Z$136&lt;=0,0,$AD$136+$Z$136),"err")))))</f>
        <v>0</v>
      </c>
      <c r="AG136" s="46" t="b">
        <f>IF(SUM(COUNTIFS($AF$136,"&lt;&gt;0",$AF$136,"&lt;&gt;"),COUNTIFS($AC$136,"&lt;&gt;0",$AC$136,"&lt;&gt;"),COUNTIFS($AD$136,"&lt;&gt;0",$AD$136,"&lt;&gt;"),COUNTIFS($AE$136,"&lt;&gt;0",$AE$136,"&lt;&gt;"))=2,TRUE,FALSE)</f>
        <v>0</v>
      </c>
      <c r="AH136" s="46" t="e">
        <f>IF($B$136,NA(),IF($Z$136=0,NA(),IF($AG$136,SUM($AC$136,$AF$136,$AD$136,$AE$136)/2,IF(OR($AF$136&lt;&gt;0,$AD$136&lt;&gt;0),$D$135+$AB$136,$D$135-$AA$136)+$Z$136/2)))</f>
        <v>#N/A</v>
      </c>
    </row>
    <row r="137" spans="1:34">
      <c r="A137" s="46"/>
      <c r="B137" s="46"/>
      <c r="C137" s="46" t="e">
        <f>#REF!</f>
        <v>#REF!</v>
      </c>
      <c r="D137" s="46" t="e">
        <f>SUM($D$136,$C$137)</f>
        <v>#REF!</v>
      </c>
      <c r="E137" s="46" t="e">
        <f>$D$136&gt;=0</f>
        <v>#REF!</v>
      </c>
      <c r="F137" s="46" t="e">
        <f>IF($B$136,AND($D$136&lt;=0,SUM($D$136,$C$137)&gt; 0),AND($D$136&lt;=0,SUM($D$136,$R$137)&gt; 0))</f>
        <v>#REF!</v>
      </c>
      <c r="G137" s="46" t="e">
        <f>IF($B$136,AND($D$136&gt;=0,SUM($D$136,$C$137)&lt; 0),AND($D$136&gt;=0,SUM($D$136,$Q$137)&lt; 0))</f>
        <v>#REF!</v>
      </c>
      <c r="H137" s="46" t="e">
        <f>OR($G$137,$F$137)</f>
        <v>#REF!</v>
      </c>
      <c r="I137" s="46" t="e">
        <f>IF($H$137,IF($G$137,"atb","bta"),IF($E$137,"nca","ncb"))</f>
        <v>#REF!</v>
      </c>
      <c r="J137" s="46" t="e">
        <f>IF($H$137,0,IF($B$136,IF($E$137,IF($C$137&gt;=0,$D$136,$D$136+$C$137),IF($C$137&gt;=0,$D$136+$C$137,$D$136)),IF($E$137,SUM($D$136,$Q$137),SUM($D$136,$R$137))))</f>
        <v>#REF!</v>
      </c>
      <c r="K137" s="46"/>
      <c r="L137" s="46"/>
      <c r="M137" s="46" t="e">
        <f>IF(COUNTIF(#REF!, "= 0")+ COUNTBLANK(#REF!) = 1,NA(),IF($B$136,NA(),IF($C$137&gt;=0,SUM($D$136,$R$137),NA())))</f>
        <v>#REF!</v>
      </c>
      <c r="N137" s="46" t="e">
        <f>IF(COUNTIF(#REF!, "= 0")+ COUNTBLANK(#REF!) = 1,NA(),IF($B$136,NA(),IF($C$137&gt;=0,NA(),SUM($D$136,$Q$137))))</f>
        <v>#REF!</v>
      </c>
      <c r="O137" s="46" t="e">
        <f>$C$137</f>
        <v>#REF!</v>
      </c>
      <c r="P137" s="46" t="e">
        <f>$C$137</f>
        <v>#REF!</v>
      </c>
      <c r="Q137" s="46">
        <f>SUMIF($Z$137:$Z$137,"&lt;0")</f>
        <v>0</v>
      </c>
      <c r="R137" s="46">
        <f>SUMIF($Z$137:$Z$137,"&gt;0")</f>
        <v>0</v>
      </c>
      <c r="S137" s="46" t="e">
        <f>IF($B$136,IF($I$137="nca",IF($C$137&gt;=0,0,ABS($C$137)),IF($I$137="ncb",0,IF($I$137="atb",IF($C$137&gt;=0,0,IF($D$136&lt;0,0,IF(ABS($C$137)&gt;$D$136,$D$136,ABS($C$137)))),IF($I$137="bta",0,"err")))),)</f>
        <v>#REF!</v>
      </c>
      <c r="T137" s="46" t="e">
        <f>IF($B$136,IF($I$137="nca",IF($C$137&lt;0,0,ABS($C$137)),IF($I$137="ncb",0,IF($I$137="atb",IF($C$137&lt;=0,0,$C$137),IF($I$137="bta",IF($C$137&lt;=0,0,$V$137+$C$137),"err")))),)</f>
        <v>#REF!</v>
      </c>
      <c r="U137" s="46" t="e">
        <f>IF($B$136,IF($I$137="nca",0,IF($I$137="ncb",IF($C$137&lt;=0,-ABS($C$137),0),IF($I$137="atb",IF($C$137&lt;0,$C$137+$S$137,0),IF($I$137="bta",IF($C$137&lt;=0,$C$137,0),"err")))),)</f>
        <v>#REF!</v>
      </c>
      <c r="V137" s="46" t="e">
        <f>IF($B$136,IF($I$137="nca",0,IF($I$137="ncb",IF($C$137&gt;=0,-ABS($C$137),0),IF($I$137="atb",0,IF($I$137="bta",IF($C$137&lt;=0,0,IF($D$136&gt;0,0,IF(ABS($C$137)&lt;ABS($D$136),-ABS($C$137),$D$136))),"err")))),)</f>
        <v>#REF!</v>
      </c>
      <c r="W137" s="46" t="e">
        <f>IF($C$137&gt;=0,IF($B$136,IF($C$137=0,NA(),$D$137),NA()),NA())</f>
        <v>#REF!</v>
      </c>
      <c r="X137" s="46" t="e">
        <f>IF($C$137&lt;0,IF($B$136,IF($C$137=0,NA(),$D$137),NA()),NA())</f>
        <v>#REF!</v>
      </c>
      <c r="Y137" s="46" t="e">
        <f>IF(IF($B$136,$C$136 = 0,COUNTIF(#REF!, "= 0")+ COUNTBLANK(#REF!) = 1),$Y$136,NA())</f>
        <v>#REF!</v>
      </c>
      <c r="Z137" s="46" t="e">
        <f>#REF!</f>
        <v>#REF!</v>
      </c>
      <c r="AA137" s="46">
        <v>0</v>
      </c>
      <c r="AB137" s="46">
        <v>0</v>
      </c>
      <c r="AC137" s="46">
        <f>IF($B$136,,IF($I$137="nca",IF($Z$137&gt;=0,0,ABS($Z$137)),IF($I$137="ncb",0,IF($I$137="atb",IF($Z$137&gt;=0,0,IF($D$136-$AA$137&lt;0,0,IF(ABS($Z$137)&gt;$D$136-$AA$137,$D$136-$AA$137,ABS($Z$137)))),IF($I$137="bta",0,"err")))))</f>
        <v>0</v>
      </c>
      <c r="AD137" s="46">
        <f>IF($B$136,,IF($I$137="nca",0,IF($I$137="ncb",IF($Z$137&gt;=0,-ABS($Z$137),0),IF($I$137="atb",0,IF($I$137="bta",IF($Z$137&lt;=0,0,IF($D$136+$AB$137&gt;0,0,IF(ABS($Z$137)&lt;ABS($D$136+$AB$137),-ABS($Z$137),$D$136+$AB$137))),"err")))))</f>
        <v>0</v>
      </c>
      <c r="AE137" s="46">
        <f>IF($B$136,,IF($I$137="nca",0,IF($I$137="ncb",IF($Z$137&lt;=0,-ABS($Z$137),0),IF($I$137="atb",IF($Z$137&lt;0,$Z$137+$AC$137,0),IF($I$137="bta",IF($Z$137&lt;=0,$Z$137,0),"err")))))</f>
        <v>0</v>
      </c>
      <c r="AF137" s="46">
        <f>IF($B$136,,IF($I$137="nca",IF($Z$137&lt;0,0,ABS($Z$137)),IF($I$137="ncb",0,IF($I$137="atb",IF($Z$137&lt;=0,0,$Z$137),IF($I$137="bta",IF($Z$137&lt;=0,0,$AD$137+$Z$137),"err")))))</f>
        <v>0</v>
      </c>
      <c r="AG137" s="46" t="b">
        <f>IF(SUM(COUNTIFS($AF$137,"&lt;&gt;0",$AF$137,"&lt;&gt;"),COUNTIFS($AC$137,"&lt;&gt;0",$AC$137,"&lt;&gt;"),COUNTIFS($AD$137,"&lt;&gt;0",$AD$137,"&lt;&gt;"),COUNTIFS($AE$137,"&lt;&gt;0",$AE$137,"&lt;&gt;"))=2,TRUE,FALSE)</f>
        <v>0</v>
      </c>
      <c r="AH137" s="46" t="e">
        <f>IF($B$136,NA(),IF($Z$137=0,NA(),IF($AG$137,SUM($AC$137,$AF$137,$AD$137,$AE$137)/2,IF(OR($AF$137&lt;&gt;0,$AD$137&lt;&gt;0),$D$136+$AB$137,$D$136-$AA$137)+$Z$137/2)))</f>
        <v>#N/A</v>
      </c>
    </row>
    <row r="138" spans="1:34">
      <c r="A138" s="46"/>
      <c r="B138" s="46"/>
      <c r="C138" s="46" t="e">
        <f>#REF!</f>
        <v>#REF!</v>
      </c>
      <c r="D138" s="46" t="e">
        <f>SUM($D$137,$C$138)</f>
        <v>#REF!</v>
      </c>
      <c r="E138" s="46" t="e">
        <f>$D$137&gt;=0</f>
        <v>#REF!</v>
      </c>
      <c r="F138" s="46" t="e">
        <f>IF($B$136,AND($D$137&lt;=0,SUM($D$137,$C$138)&gt; 0),AND($D$137&lt;=0,SUM($D$137,$R$138)&gt; 0))</f>
        <v>#REF!</v>
      </c>
      <c r="G138" s="46" t="e">
        <f>IF($B$136,AND($D$137&gt;=0,SUM($D$137,$C$138)&lt; 0),AND($D$137&gt;=0,SUM($D$137,$Q$138)&lt; 0))</f>
        <v>#REF!</v>
      </c>
      <c r="H138" s="46" t="e">
        <f>OR($G$138,$F$138)</f>
        <v>#REF!</v>
      </c>
      <c r="I138" s="46" t="e">
        <f>IF($H$138,IF($G$138,"atb","bta"),IF($E$138,"nca","ncb"))</f>
        <v>#REF!</v>
      </c>
      <c r="J138" s="46" t="e">
        <f>IF($H$138,0,IF($B$136,IF($E$138,IF($C$138&gt;=0,$D$137,$D$137+$C$138),IF($C$138&gt;=0,$D$137+$C$138,$D$137)),IF($E$138,SUM($D$137,$Q$138),SUM($D$137,$R$138))))</f>
        <v>#REF!</v>
      </c>
      <c r="K138" s="46"/>
      <c r="L138" s="46"/>
      <c r="M138" s="46" t="e">
        <f>IF(COUNTIF(#REF!, "= 0")+ COUNTBLANK(#REF!) = 1,NA(),IF($B$136,NA(),IF($C$138&gt;=0,SUM($D$137,$R$138),NA())))</f>
        <v>#REF!</v>
      </c>
      <c r="N138" s="46" t="e">
        <f>IF(COUNTIF(#REF!, "= 0")+ COUNTBLANK(#REF!) = 1,NA(),IF($B$136,NA(),IF($C$138&gt;=0,NA(),SUM($D$137,$Q$138))))</f>
        <v>#REF!</v>
      </c>
      <c r="O138" s="46" t="e">
        <f>$C$138</f>
        <v>#REF!</v>
      </c>
      <c r="P138" s="46" t="e">
        <f>$C$138</f>
        <v>#REF!</v>
      </c>
      <c r="Q138" s="46">
        <f>SUMIF($Z$138:$Z$138,"&lt;0")</f>
        <v>0</v>
      </c>
      <c r="R138" s="46">
        <f>SUMIF($Z$138:$Z$138,"&gt;0")</f>
        <v>0</v>
      </c>
      <c r="S138" s="46" t="e">
        <f>IF($B$136,IF($I$138="nca",IF($C$138&gt;=0,0,ABS($C$138)),IF($I$138="ncb",0,IF($I$138="atb",IF($C$138&gt;=0,0,IF($D$137&lt;0,0,IF(ABS($C$138)&gt;$D$137,$D$137,ABS($C$138)))),IF($I$138="bta",0,"err")))),)</f>
        <v>#REF!</v>
      </c>
      <c r="T138" s="46" t="e">
        <f>IF($B$136,IF($I$138="nca",IF($C$138&lt;0,0,ABS($C$138)),IF($I$138="ncb",0,IF($I$138="atb",IF($C$138&lt;=0,0,$C$138),IF($I$138="bta",IF($C$138&lt;=0,0,$V$138+$C$138),"err")))),)</f>
        <v>#REF!</v>
      </c>
      <c r="U138" s="46" t="e">
        <f>IF($B$136,IF($I$138="nca",0,IF($I$138="ncb",IF($C$138&lt;=0,-ABS($C$138),0),IF($I$138="atb",IF($C$138&lt;0,$C$138+$S$138,0),IF($I$138="bta",IF($C$138&lt;=0,$C$138,0),"err")))),)</f>
        <v>#REF!</v>
      </c>
      <c r="V138" s="46" t="e">
        <f>IF($B$136,IF($I$138="nca",0,IF($I$138="ncb",IF($C$138&gt;=0,-ABS($C$138),0),IF($I$138="atb",0,IF($I$138="bta",IF($C$138&lt;=0,0,IF($D$137&gt;0,0,IF(ABS($C$138)&lt;ABS($D$137),-ABS($C$138),$D$137))),"err")))),)</f>
        <v>#REF!</v>
      </c>
      <c r="W138" s="46" t="e">
        <f>IF($C$138&gt;=0,IF($B$136,IF($C$138=0,NA(),$D$138),NA()),NA())</f>
        <v>#REF!</v>
      </c>
      <c r="X138" s="46" t="e">
        <f>IF($C$138&lt;0,IF($B$136,IF($C$138=0,NA(),$D$138),NA()),NA())</f>
        <v>#REF!</v>
      </c>
      <c r="Y138" s="46" t="e">
        <f>$D$136</f>
        <v>#REF!</v>
      </c>
      <c r="Z138" s="46" t="e">
        <f>#REF!</f>
        <v>#REF!</v>
      </c>
      <c r="AA138" s="46">
        <v>0</v>
      </c>
      <c r="AB138" s="46">
        <v>0</v>
      </c>
      <c r="AC138" s="46">
        <f>IF($B$136,,IF($I$138="nca",IF($Z$138&gt;=0,0,ABS($Z$138)),IF($I$138="ncb",0,IF($I$138="atb",IF($Z$138&gt;=0,0,IF($D$137-$AA$138&lt;0,0,IF(ABS($Z$138)&gt;$D$137-$AA$138,$D$137-$AA$138,ABS($Z$138)))),IF($I$138="bta",0,"err")))))</f>
        <v>0</v>
      </c>
      <c r="AD138" s="46">
        <f>IF($B$136,,IF($I$138="nca",0,IF($I$138="ncb",IF($Z$138&gt;=0,-ABS($Z$138),0),IF($I$138="atb",0,IF($I$138="bta",IF($Z$138&lt;=0,0,IF($D$137+$AB$138&gt;0,0,IF(ABS($Z$138)&lt;ABS($D$137+$AB$138),-ABS($Z$138),$D$137+$AB$138))),"err")))))</f>
        <v>0</v>
      </c>
      <c r="AE138" s="46">
        <f>IF($B$136,,IF($I$138="nca",0,IF($I$138="ncb",IF($Z$138&lt;=0,-ABS($Z$138),0),IF($I$138="atb",IF($Z$138&lt;0,$Z$138+$AC$138,0),IF($I$138="bta",IF($Z$138&lt;=0,$Z$138,0),"err")))))</f>
        <v>0</v>
      </c>
      <c r="AF138" s="46">
        <f>IF($B$136,,IF($I$138="nca",IF($Z$138&lt;0,0,ABS($Z$138)),IF($I$138="ncb",0,IF($I$138="atb",IF($Z$138&lt;=0,0,$Z$138),IF($I$138="bta",IF($Z$138&lt;=0,0,$AD$138+$Z$138),"err")))))</f>
        <v>0</v>
      </c>
      <c r="AG138" s="46" t="b">
        <f>IF(SUM(COUNTIFS($AF$138,"&lt;&gt;0",$AF$138,"&lt;&gt;"),COUNTIFS($AC$138,"&lt;&gt;0",$AC$138,"&lt;&gt;"),COUNTIFS($AD$138,"&lt;&gt;0",$AD$138,"&lt;&gt;"),COUNTIFS($AE$138,"&lt;&gt;0",$AE$138,"&lt;&gt;"))=2,TRUE,FALSE)</f>
        <v>0</v>
      </c>
      <c r="AH138" s="46" t="e">
        <f>IF($B$136,NA(),IF($Z$138=0,NA(),IF($AG$138,SUM($AC$138,$AF$138,$AD$138,$AE$138)/2,IF(OR($AF$138&lt;&gt;0,$AD$138&lt;&gt;0),$D$137+$AB$138,$D$137-$AA$138)+$Z$138/2)))</f>
        <v>#N/A</v>
      </c>
    </row>
    <row r="139" spans="1:34">
      <c r="A139" s="46"/>
      <c r="B139" s="46"/>
      <c r="C139" s="46" t="e">
        <f>#REF!</f>
        <v>#REF!</v>
      </c>
      <c r="D139" s="46" t="e">
        <f>SUM($D$138,$C$139)</f>
        <v>#REF!</v>
      </c>
      <c r="E139" s="46" t="e">
        <f>$D$138&gt;=0</f>
        <v>#REF!</v>
      </c>
      <c r="F139" s="46" t="e">
        <f>IF($B$136,AND($D$138&lt;=0,SUM($D$138,$C$139)&gt; 0),AND($D$138&lt;=0,SUM($D$138,$R$139)&gt; 0))</f>
        <v>#REF!</v>
      </c>
      <c r="G139" s="46" t="e">
        <f>IF($B$136,AND($D$138&gt;=0,SUM($D$138,$C$139)&lt; 0),AND($D$138&gt;=0,SUM($D$138,$Q$139)&lt; 0))</f>
        <v>#REF!</v>
      </c>
      <c r="H139" s="46" t="e">
        <f>OR($G$139,$F$139)</f>
        <v>#REF!</v>
      </c>
      <c r="I139" s="46" t="e">
        <f>IF($H$139,IF($G$139,"atb","bta"),IF($E$139,"nca","ncb"))</f>
        <v>#REF!</v>
      </c>
      <c r="J139" s="46" t="e">
        <f>IF($H$139,0,IF($B$136,IF($E$139,IF($C$139&gt;=0,$D$138,$D$138+$C$139),IF($C$139&gt;=0,$D$138+$C$139,$D$138)),IF($E$139,SUM($D$138,$Q$139),SUM($D$138,$R$139))))</f>
        <v>#REF!</v>
      </c>
      <c r="K139" s="46"/>
      <c r="L139" s="46"/>
      <c r="M139" s="46" t="e">
        <f>IF(COUNTIF(#REF!, "= 0")+ COUNTBLANK(#REF!) = 1,NA(),IF($B$136,NA(),IF($C$139&gt;=0,SUM($D$138,$R$139),NA())))</f>
        <v>#REF!</v>
      </c>
      <c r="N139" s="46" t="e">
        <f>IF(COUNTIF(#REF!, "= 0")+ COUNTBLANK(#REF!) = 1,NA(),IF($B$136,NA(),IF($C$139&gt;=0,NA(),SUM($D$138,$Q$139))))</f>
        <v>#REF!</v>
      </c>
      <c r="O139" s="46" t="e">
        <f>$C$139</f>
        <v>#REF!</v>
      </c>
      <c r="P139" s="46" t="e">
        <f>$C$139</f>
        <v>#REF!</v>
      </c>
      <c r="Q139" s="46">
        <f>SUMIF($Z$139:$Z$139,"&lt;0")</f>
        <v>0</v>
      </c>
      <c r="R139" s="46">
        <f>SUMIF($Z$139:$Z$139,"&gt;0")</f>
        <v>0</v>
      </c>
      <c r="S139" s="46" t="e">
        <f>IF($B$136,IF($I$139="nca",IF($C$139&gt;=0,0,ABS($C$139)),IF($I$139="ncb",0,IF($I$139="atb",IF($C$139&gt;=0,0,IF($D$138&lt;0,0,IF(ABS($C$139)&gt;$D$138,$D$138,ABS($C$139)))),IF($I$139="bta",0,"err")))),)</f>
        <v>#REF!</v>
      </c>
      <c r="T139" s="46" t="e">
        <f>IF($B$136,IF($I$139="nca",IF($C$139&lt;0,0,ABS($C$139)),IF($I$139="ncb",0,IF($I$139="atb",IF($C$139&lt;=0,0,$C$139),IF($I$139="bta",IF($C$139&lt;=0,0,$V$139+$C$139),"err")))),)</f>
        <v>#REF!</v>
      </c>
      <c r="U139" s="46" t="e">
        <f>IF($B$136,IF($I$139="nca",0,IF($I$139="ncb",IF($C$139&lt;=0,-ABS($C$139),0),IF($I$139="atb",IF($C$139&lt;0,$C$139+$S$139,0),IF($I$139="bta",IF($C$139&lt;=0,$C$139,0),"err")))),)</f>
        <v>#REF!</v>
      </c>
      <c r="V139" s="46" t="e">
        <f>IF($B$136,IF($I$139="nca",0,IF($I$139="ncb",IF($C$139&gt;=0,-ABS($C$139),0),IF($I$139="atb",0,IF($I$139="bta",IF($C$139&lt;=0,0,IF($D$138&gt;0,0,IF(ABS($C$139)&lt;ABS($D$138),-ABS($C$139),$D$138))),"err")))),)</f>
        <v>#REF!</v>
      </c>
      <c r="W139" s="46" t="e">
        <f>IF($C$139&gt;=0,IF($B$136,IF($C$139=0,NA(),$D$139),NA()),NA())</f>
        <v>#REF!</v>
      </c>
      <c r="X139" s="46" t="e">
        <f>IF($C$139&lt;0,IF($B$136,IF($C$139=0,NA(),$D$139),NA()),NA())</f>
        <v>#REF!</v>
      </c>
      <c r="Y139" s="46" t="e">
        <f>$D$136</f>
        <v>#REF!</v>
      </c>
      <c r="Z139" s="46" t="e">
        <f>#REF!</f>
        <v>#REF!</v>
      </c>
      <c r="AA139" s="46">
        <v>0</v>
      </c>
      <c r="AB139" s="46">
        <v>0</v>
      </c>
      <c r="AC139" s="46">
        <f>IF($B$136,,IF($I$139="nca",IF($Z$139&gt;=0,0,ABS($Z$139)),IF($I$139="ncb",0,IF($I$139="atb",IF($Z$139&gt;=0,0,IF($D$138-$AA$139&lt;0,0,IF(ABS($Z$139)&gt;$D$138-$AA$139,$D$138-$AA$139,ABS($Z$139)))),IF($I$139="bta",0,"err")))))</f>
        <v>0</v>
      </c>
      <c r="AD139" s="46">
        <f>IF($B$136,,IF($I$139="nca",0,IF($I$139="ncb",IF($Z$139&gt;=0,-ABS($Z$139),0),IF($I$139="atb",0,IF($I$139="bta",IF($Z$139&lt;=0,0,IF($D$138+$AB$139&gt;0,0,IF(ABS($Z$139)&lt;ABS($D$138+$AB$139),-ABS($Z$139),$D$138+$AB$139))),"err")))))</f>
        <v>0</v>
      </c>
      <c r="AE139" s="46">
        <f>IF($B$136,,IF($I$139="nca",0,IF($I$139="ncb",IF($Z$139&lt;=0,-ABS($Z$139),0),IF($I$139="atb",IF($Z$139&lt;0,$Z$139+$AC$139,0),IF($I$139="bta",IF($Z$139&lt;=0,$Z$139,0),"err")))))</f>
        <v>0</v>
      </c>
      <c r="AF139" s="46">
        <f>IF($B$136,,IF($I$139="nca",IF($Z$139&lt;0,0,ABS($Z$139)),IF($I$139="ncb",0,IF($I$139="atb",IF($Z$139&lt;=0,0,$Z$139),IF($I$139="bta",IF($Z$139&lt;=0,0,$AD$139+$Z$139),"err")))))</f>
        <v>0</v>
      </c>
      <c r="AG139" s="46" t="b">
        <f>IF(SUM(COUNTIFS($AF$139,"&lt;&gt;0",$AF$139,"&lt;&gt;"),COUNTIFS($AC$139,"&lt;&gt;0",$AC$139,"&lt;&gt;"),COUNTIFS($AD$139,"&lt;&gt;0",$AD$139,"&lt;&gt;"),COUNTIFS($AE$139,"&lt;&gt;0",$AE$139,"&lt;&gt;"))=2,TRUE,FALSE)</f>
        <v>0</v>
      </c>
      <c r="AH139" s="46" t="e">
        <f>IF($B$136,NA(),IF($Z$139=0,NA(),IF($AG$139,SUM($AC$139,$AF$139,$AD$139,$AE$139)/2,IF(OR($AF$139&lt;&gt;0,$AD$139&lt;&gt;0),$D$138+$AB$139,$D$138-$AA$139)+$Z$139/2)))</f>
        <v>#N/A</v>
      </c>
    </row>
    <row r="140" spans="1:34">
      <c r="A140" s="46"/>
      <c r="B140" s="46"/>
      <c r="C140" s="46" t="e">
        <f>#REF!</f>
        <v>#REF!</v>
      </c>
      <c r="D140" s="46" t="e">
        <f>SUM($D$139,$C$140)</f>
        <v>#REF!</v>
      </c>
      <c r="E140" s="46" t="e">
        <f>$D$139&gt;=0</f>
        <v>#REF!</v>
      </c>
      <c r="F140" s="46" t="e">
        <f>IF($B$136,AND($D$139&lt;=0,SUM($D$139,$C$140)&gt; 0),AND($D$139&lt;=0,SUM($D$139,$R$140)&gt; 0))</f>
        <v>#REF!</v>
      </c>
      <c r="G140" s="46" t="e">
        <f>IF($B$136,AND($D$139&gt;=0,SUM($D$139,$C$140)&lt; 0),AND($D$139&gt;=0,SUM($D$139,$Q$140)&lt; 0))</f>
        <v>#REF!</v>
      </c>
      <c r="H140" s="46" t="e">
        <f>OR($G$140,$F$140)</f>
        <v>#REF!</v>
      </c>
      <c r="I140" s="46" t="e">
        <f>IF($H$140,IF($G$140,"atb","bta"),IF($E$140,"nca","ncb"))</f>
        <v>#REF!</v>
      </c>
      <c r="J140" s="46" t="e">
        <f>IF($H$140,0,IF($B$136,IF($E$140,IF($C$140&gt;=0,$D$139,$D$139+$C$140),IF($C$140&gt;=0,$D$139+$C$140,$D$139)),IF($E$140,SUM($D$139,$Q$140),SUM($D$139,$R$140))))</f>
        <v>#REF!</v>
      </c>
      <c r="K140" s="46"/>
      <c r="L140" s="46"/>
      <c r="M140" s="46" t="e">
        <f>IF(COUNTIF(#REF!, "= 0")+ COUNTBLANK(#REF!) = 1,NA(),IF($B$136,NA(),IF($C$140&gt;=0,SUM($D$139,$R$140),NA())))</f>
        <v>#REF!</v>
      </c>
      <c r="N140" s="46" t="e">
        <f>IF(COUNTIF(#REF!, "= 0")+ COUNTBLANK(#REF!) = 1,NA(),IF($B$136,NA(),IF($C$140&gt;=0,NA(),SUM($D$139,$Q$140))))</f>
        <v>#REF!</v>
      </c>
      <c r="O140" s="46" t="e">
        <f>$C$140</f>
        <v>#REF!</v>
      </c>
      <c r="P140" s="46" t="e">
        <f>$C$140</f>
        <v>#REF!</v>
      </c>
      <c r="Q140" s="46">
        <f>SUMIF($Z$140:$Z$140,"&lt;0")</f>
        <v>0</v>
      </c>
      <c r="R140" s="46">
        <f>SUMIF($Z$140:$Z$140,"&gt;0")</f>
        <v>0</v>
      </c>
      <c r="S140" s="46" t="e">
        <f>IF($B$136,IF($I$140="nca",IF($C$140&gt;=0,0,ABS($C$140)),IF($I$140="ncb",0,IF($I$140="atb",IF($C$140&gt;=0,0,IF($D$139&lt;0,0,IF(ABS($C$140)&gt;$D$139,$D$139,ABS($C$140)))),IF($I$140="bta",0,"err")))),)</f>
        <v>#REF!</v>
      </c>
      <c r="T140" s="46" t="e">
        <f>IF($B$136,IF($I$140="nca",IF($C$140&lt;0,0,ABS($C$140)),IF($I$140="ncb",0,IF($I$140="atb",IF($C$140&lt;=0,0,$C$140),IF($I$140="bta",IF($C$140&lt;=0,0,$V$140+$C$140),"err")))),)</f>
        <v>#REF!</v>
      </c>
      <c r="U140" s="46" t="e">
        <f>IF($B$136,IF($I$140="nca",0,IF($I$140="ncb",IF($C$140&lt;=0,-ABS($C$140),0),IF($I$140="atb",IF($C$140&lt;0,$C$140+$S$140,0),IF($I$140="bta",IF($C$140&lt;=0,$C$140,0),"err")))),)</f>
        <v>#REF!</v>
      </c>
      <c r="V140" s="46" t="e">
        <f>IF($B$136,IF($I$140="nca",0,IF($I$140="ncb",IF($C$140&gt;=0,-ABS($C$140),0),IF($I$140="atb",0,IF($I$140="bta",IF($C$140&lt;=0,0,IF($D$139&gt;0,0,IF(ABS($C$140)&lt;ABS($D$139),-ABS($C$140),$D$139))),"err")))),)</f>
        <v>#REF!</v>
      </c>
      <c r="W140" s="46" t="e">
        <f>IF($C$140&gt;=0,IF($B$136,IF($C$140=0,NA(),$D$140),NA()),NA())</f>
        <v>#REF!</v>
      </c>
      <c r="X140" s="46" t="e">
        <f>IF($C$140&lt;0,IF($B$136,IF($C$140=0,NA(),$D$140),NA()),NA())</f>
        <v>#REF!</v>
      </c>
      <c r="Y140" s="46" t="e">
        <f>IF(IF($B$136,$C$137 = 0,COUNTIF(#REF!, "= 0")+ COUNTBLANK(#REF!) = 1),$Y$139,NA())</f>
        <v>#REF!</v>
      </c>
      <c r="Z140" s="46" t="e">
        <f>#REF!</f>
        <v>#REF!</v>
      </c>
      <c r="AA140" s="46">
        <v>0</v>
      </c>
      <c r="AB140" s="46">
        <v>0</v>
      </c>
      <c r="AC140" s="46">
        <f>IF($B$136,,IF($I$140="nca",IF($Z$140&gt;=0,0,ABS($Z$140)),IF($I$140="ncb",0,IF($I$140="atb",IF($Z$140&gt;=0,0,IF($D$139-$AA$140&lt;0,0,IF(ABS($Z$140)&gt;$D$139-$AA$140,$D$139-$AA$140,ABS($Z$140)))),IF($I$140="bta",0,"err")))))</f>
        <v>0</v>
      </c>
      <c r="AD140" s="46">
        <f>IF($B$136,,IF($I$140="nca",0,IF($I$140="ncb",IF($Z$140&gt;=0,-ABS($Z$140),0),IF($I$140="atb",0,IF($I$140="bta",IF($Z$140&lt;=0,0,IF($D$139+$AB$140&gt;0,0,IF(ABS($Z$140)&lt;ABS($D$139+$AB$140),-ABS($Z$140),$D$139+$AB$140))),"err")))))</f>
        <v>0</v>
      </c>
      <c r="AE140" s="46">
        <f>IF($B$136,,IF($I$140="nca",0,IF($I$140="ncb",IF($Z$140&lt;=0,-ABS($Z$140),0),IF($I$140="atb",IF($Z$140&lt;0,$Z$140+$AC$140,0),IF($I$140="bta",IF($Z$140&lt;=0,$Z$140,0),"err")))))</f>
        <v>0</v>
      </c>
      <c r="AF140" s="46">
        <f>IF($B$136,,IF($I$140="nca",IF($Z$140&lt;0,0,ABS($Z$140)),IF($I$140="ncb",0,IF($I$140="atb",IF($Z$140&lt;=0,0,$Z$140),IF($I$140="bta",IF($Z$140&lt;=0,0,$AD$140+$Z$140),"err")))))</f>
        <v>0</v>
      </c>
      <c r="AG140" s="46" t="b">
        <f>IF(SUM(COUNTIFS($AF$140,"&lt;&gt;0",$AF$140,"&lt;&gt;"),COUNTIFS($AC$140,"&lt;&gt;0",$AC$140,"&lt;&gt;"),COUNTIFS($AD$140,"&lt;&gt;0",$AD$140,"&lt;&gt;"),COUNTIFS($AE$140,"&lt;&gt;0",$AE$140,"&lt;&gt;"))=2,TRUE,FALSE)</f>
        <v>0</v>
      </c>
      <c r="AH140" s="46" t="e">
        <f>IF($B$136,NA(),IF($Z$140=0,NA(),IF($AG$140,SUM($AC$140,$AF$140,$AD$140,$AE$140)/2,IF(OR($AF$140&lt;&gt;0,$AD$140&lt;&gt;0),$D$139+$AB$140,$D$139-$AA$140)+$Z$140/2)))</f>
        <v>#N/A</v>
      </c>
    </row>
    <row r="141" spans="1:34">
      <c r="A141" s="46"/>
      <c r="B141" s="46"/>
      <c r="C141" s="46" t="e">
        <f>#REF!</f>
        <v>#REF!</v>
      </c>
      <c r="D141" s="46" t="e">
        <f>SUM($D$140,$C$141)</f>
        <v>#REF!</v>
      </c>
      <c r="E141" s="46" t="e">
        <f>$D$140&gt;=0</f>
        <v>#REF!</v>
      </c>
      <c r="F141" s="46" t="e">
        <f>IF($B$136,AND($D$140&lt;=0,SUM($D$140,$C$141)&gt; 0),AND($D$140&lt;=0,SUM($D$140,$R$141)&gt; 0))</f>
        <v>#REF!</v>
      </c>
      <c r="G141" s="46" t="e">
        <f>IF($B$136,AND($D$140&gt;=0,SUM($D$140,$C$141)&lt; 0),AND($D$140&gt;=0,SUM($D$140,$Q$141)&lt; 0))</f>
        <v>#REF!</v>
      </c>
      <c r="H141" s="46" t="e">
        <f>OR($G$141,$F$141)</f>
        <v>#REF!</v>
      </c>
      <c r="I141" s="46" t="e">
        <f>IF($H$141,IF($G$141,"atb","bta"),IF($E$141,"nca","ncb"))</f>
        <v>#REF!</v>
      </c>
      <c r="J141" s="46" t="e">
        <f>IF($H$141,0,IF($B$136,IF($E$141,IF($C$141&gt;=0,$D$140,$D$140+$C$141),IF($C$141&gt;=0,$D$140+$C$141,$D$140)),IF($E$141,SUM($D$140,$Q$141),SUM($D$140,$R$141))))</f>
        <v>#REF!</v>
      </c>
      <c r="K141" s="46"/>
      <c r="L141" s="46"/>
      <c r="M141" s="46" t="e">
        <f>IF(COUNTIF(#REF!, "= 0")+ COUNTBLANK(#REF!) = 1,NA(),IF($B$136,NA(),IF($C$141&gt;=0,SUM($D$140,$R$141),NA())))</f>
        <v>#REF!</v>
      </c>
      <c r="N141" s="46" t="e">
        <f>IF(COUNTIF(#REF!, "= 0")+ COUNTBLANK(#REF!) = 1,NA(),IF($B$136,NA(),IF($C$141&gt;=0,NA(),SUM($D$140,$Q$141))))</f>
        <v>#REF!</v>
      </c>
      <c r="O141" s="46" t="e">
        <f>$C$141</f>
        <v>#REF!</v>
      </c>
      <c r="P141" s="46" t="e">
        <f>$C$141</f>
        <v>#REF!</v>
      </c>
      <c r="Q141" s="46">
        <f>SUMIF($Z$141:$Z$141,"&lt;0")</f>
        <v>0</v>
      </c>
      <c r="R141" s="46">
        <f>SUMIF($Z$141:$Z$141,"&gt;0")</f>
        <v>0</v>
      </c>
      <c r="S141" s="46" t="e">
        <f>IF($B$136,IF($I$141="nca",IF($C$141&gt;=0,0,ABS($C$141)),IF($I$141="ncb",0,IF($I$141="atb",IF($C$141&gt;=0,0,IF($D$140&lt;0,0,IF(ABS($C$141)&gt;$D$140,$D$140,ABS($C$141)))),IF($I$141="bta",0,"err")))),)</f>
        <v>#REF!</v>
      </c>
      <c r="T141" s="46" t="e">
        <f>IF($B$136,IF($I$141="nca",IF($C$141&lt;0,0,ABS($C$141)),IF($I$141="ncb",0,IF($I$141="atb",IF($C$141&lt;=0,0,$C$141),IF($I$141="bta",IF($C$141&lt;=0,0,$V$141+$C$141),"err")))),)</f>
        <v>#REF!</v>
      </c>
      <c r="U141" s="46" t="e">
        <f>IF($B$136,IF($I$141="nca",0,IF($I$141="ncb",IF($C$141&lt;=0,-ABS($C$141),0),IF($I$141="atb",IF($C$141&lt;0,$C$141+$S$141,0),IF($I$141="bta",IF($C$141&lt;=0,$C$141,0),"err")))),)</f>
        <v>#REF!</v>
      </c>
      <c r="V141" s="46" t="e">
        <f>IF($B$136,IF($I$141="nca",0,IF($I$141="ncb",IF($C$141&gt;=0,-ABS($C$141),0),IF($I$141="atb",0,IF($I$141="bta",IF($C$141&lt;=0,0,IF($D$140&gt;0,0,IF(ABS($C$141)&lt;ABS($D$140),-ABS($C$141),$D$140))),"err")))),)</f>
        <v>#REF!</v>
      </c>
      <c r="W141" s="46" t="e">
        <f>IF($C$141&gt;=0,IF($B$136,IF($C$141=0,NA(),$D$141),NA()),NA())</f>
        <v>#REF!</v>
      </c>
      <c r="X141" s="46" t="e">
        <f>IF($C$141&lt;0,IF($B$136,IF($C$141=0,NA(),$D$141),NA()),NA())</f>
        <v>#REF!</v>
      </c>
      <c r="Y141" s="46" t="e">
        <f>$D$137</f>
        <v>#REF!</v>
      </c>
      <c r="Z141" s="46" t="e">
        <f>#REF!</f>
        <v>#REF!</v>
      </c>
      <c r="AA141" s="46">
        <v>0</v>
      </c>
      <c r="AB141" s="46">
        <v>0</v>
      </c>
      <c r="AC141" s="46">
        <f>IF($B$136,,IF($I$141="nca",IF($Z$141&gt;=0,0,ABS($Z$141)),IF($I$141="ncb",0,IF($I$141="atb",IF($Z$141&gt;=0,0,IF($D$140-$AA$141&lt;0,0,IF(ABS($Z$141)&gt;$D$140-$AA$141,$D$140-$AA$141,ABS($Z$141)))),IF($I$141="bta",0,"err")))))</f>
        <v>0</v>
      </c>
      <c r="AD141" s="46">
        <f>IF($B$136,,IF($I$141="nca",0,IF($I$141="ncb",IF($Z$141&gt;=0,-ABS($Z$141),0),IF($I$141="atb",0,IF($I$141="bta",IF($Z$141&lt;=0,0,IF($D$140+$AB$141&gt;0,0,IF(ABS($Z$141)&lt;ABS($D$140+$AB$141),-ABS($Z$141),$D$140+$AB$141))),"err")))))</f>
        <v>0</v>
      </c>
      <c r="AE141" s="46">
        <f>IF($B$136,,IF($I$141="nca",0,IF($I$141="ncb",IF($Z$141&lt;=0,-ABS($Z$141),0),IF($I$141="atb",IF($Z$141&lt;0,$Z$141+$AC$141,0),IF($I$141="bta",IF($Z$141&lt;=0,$Z$141,0),"err")))))</f>
        <v>0</v>
      </c>
      <c r="AF141" s="46">
        <f>IF($B$136,,IF($I$141="nca",IF($Z$141&lt;0,0,ABS($Z$141)),IF($I$141="ncb",0,IF($I$141="atb",IF($Z$141&lt;=0,0,$Z$141),IF($I$141="bta",IF($Z$141&lt;=0,0,$AD$141+$Z$141),"err")))))</f>
        <v>0</v>
      </c>
      <c r="AG141" s="46" t="b">
        <f>IF(SUM(COUNTIFS($AF$141,"&lt;&gt;0",$AF$141,"&lt;&gt;"),COUNTIFS($AC$141,"&lt;&gt;0",$AC$141,"&lt;&gt;"),COUNTIFS($AD$141,"&lt;&gt;0",$AD$141,"&lt;&gt;"),COUNTIFS($AE$141,"&lt;&gt;0",$AE$141,"&lt;&gt;"))=2,TRUE,FALSE)</f>
        <v>0</v>
      </c>
      <c r="AH141" s="46" t="e">
        <f>IF($B$136,NA(),IF($Z$141=0,NA(),IF($AG$141,SUM($AC$141,$AF$141,$AD$141,$AE$141)/2,IF(OR($AF$141&lt;&gt;0,$AD$141&lt;&gt;0),$D$140+$AB$141,$D$140-$AA$141)+$Z$141/2)))</f>
        <v>#N/A</v>
      </c>
    </row>
    <row r="142" spans="1:34">
      <c r="A142" s="46"/>
      <c r="B142" s="46"/>
      <c r="C142" s="46" t="e">
        <f>#REF!</f>
        <v>#REF!</v>
      </c>
      <c r="D142" s="46" t="e">
        <f>SUM($D$141,$C$142)</f>
        <v>#REF!</v>
      </c>
      <c r="E142" s="46" t="e">
        <f>$D$141&gt;=0</f>
        <v>#REF!</v>
      </c>
      <c r="F142" s="46" t="e">
        <f>IF($B$136,AND($D$141&lt;=0,SUM($D$141,$C$142)&gt; 0),AND($D$141&lt;=0,SUM($D$141,$R$142)&gt; 0))</f>
        <v>#REF!</v>
      </c>
      <c r="G142" s="46" t="e">
        <f>IF($B$136,AND($D$141&gt;=0,SUM($D$141,$C$142)&lt; 0),AND($D$141&gt;=0,SUM($D$141,$Q$142)&lt; 0))</f>
        <v>#REF!</v>
      </c>
      <c r="H142" s="46" t="e">
        <f>OR($G$142,$F$142)</f>
        <v>#REF!</v>
      </c>
      <c r="I142" s="46" t="e">
        <f>IF($H$142,IF($G$142,"atb","bta"),IF($E$142,"nca","ncb"))</f>
        <v>#REF!</v>
      </c>
      <c r="J142" s="46" t="e">
        <f>IF($H$142,0,IF($B$136,IF($E$142,IF($C$142&gt;=0,$D$141,$D$141+$C$142),IF($C$142&gt;=0,$D$141+$C$142,$D$141)),IF($E$142,SUM($D$141,$Q$142),SUM($D$141,$R$142))))</f>
        <v>#REF!</v>
      </c>
      <c r="K142" s="46"/>
      <c r="L142" s="46"/>
      <c r="M142" s="46" t="e">
        <f>IF(COUNTIF(#REF!, "= 0")+ COUNTBLANK(#REF!) = 1,NA(),IF($B$136,NA(),IF($C$142&gt;=0,SUM($D$141,$R$142),NA())))</f>
        <v>#REF!</v>
      </c>
      <c r="N142" s="46" t="e">
        <f>IF(COUNTIF(#REF!, "= 0")+ COUNTBLANK(#REF!) = 1,NA(),IF($B$136,NA(),IF($C$142&gt;=0,NA(),SUM($D$141,$Q$142))))</f>
        <v>#REF!</v>
      </c>
      <c r="O142" s="46" t="e">
        <f>$C$142</f>
        <v>#REF!</v>
      </c>
      <c r="P142" s="46" t="e">
        <f>$C$142</f>
        <v>#REF!</v>
      </c>
      <c r="Q142" s="46">
        <f>SUMIF($Z$142:$Z$142,"&lt;0")</f>
        <v>0</v>
      </c>
      <c r="R142" s="46">
        <f>SUMIF($Z$142:$Z$142,"&gt;0")</f>
        <v>0</v>
      </c>
      <c r="S142" s="46" t="e">
        <f>IF($B$136,IF($I$142="nca",IF($C$142&gt;=0,0,ABS($C$142)),IF($I$142="ncb",0,IF($I$142="atb",IF($C$142&gt;=0,0,IF($D$141&lt;0,0,IF(ABS($C$142)&gt;$D$141,$D$141,ABS($C$142)))),IF($I$142="bta",0,"err")))),)</f>
        <v>#REF!</v>
      </c>
      <c r="T142" s="46" t="e">
        <f>IF($B$136,IF($I$142="nca",IF($C$142&lt;0,0,ABS($C$142)),IF($I$142="ncb",0,IF($I$142="atb",IF($C$142&lt;=0,0,$C$142),IF($I$142="bta",IF($C$142&lt;=0,0,$V$142+$C$142),"err")))),)</f>
        <v>#REF!</v>
      </c>
      <c r="U142" s="46" t="e">
        <f>IF($B$136,IF($I$142="nca",0,IF($I$142="ncb",IF($C$142&lt;=0,-ABS($C$142),0),IF($I$142="atb",IF($C$142&lt;0,$C$142+$S$142,0),IF($I$142="bta",IF($C$142&lt;=0,$C$142,0),"err")))),)</f>
        <v>#REF!</v>
      </c>
      <c r="V142" s="46" t="e">
        <f>IF($B$136,IF($I$142="nca",0,IF($I$142="ncb",IF($C$142&gt;=0,-ABS($C$142),0),IF($I$142="atb",0,IF($I$142="bta",IF($C$142&lt;=0,0,IF($D$141&gt;0,0,IF(ABS($C$142)&lt;ABS($D$141),-ABS($C$142),$D$141))),"err")))),)</f>
        <v>#REF!</v>
      </c>
      <c r="W142" s="46" t="e">
        <f>IF($C$142&gt;=0,IF($B$136,IF($C$142=0,NA(),$D$142),NA()),NA())</f>
        <v>#REF!</v>
      </c>
      <c r="X142" s="46" t="e">
        <f>IF($C$142&lt;0,IF($B$136,IF($C$142=0,NA(),$D$142),NA()),NA())</f>
        <v>#REF!</v>
      </c>
      <c r="Y142" s="46" t="e">
        <f>$D$137</f>
        <v>#REF!</v>
      </c>
      <c r="Z142" s="46" t="e">
        <f>#REF!</f>
        <v>#REF!</v>
      </c>
      <c r="AA142" s="46">
        <v>0</v>
      </c>
      <c r="AB142" s="46">
        <v>0</v>
      </c>
      <c r="AC142" s="46">
        <f>IF($B$136,,IF($I$142="nca",IF($Z$142&gt;=0,0,ABS($Z$142)),IF($I$142="ncb",0,IF($I$142="atb",IF($Z$142&gt;=0,0,IF($D$141-$AA$142&lt;0,0,IF(ABS($Z$142)&gt;$D$141-$AA$142,$D$141-$AA$142,ABS($Z$142)))),IF($I$142="bta",0,"err")))))</f>
        <v>0</v>
      </c>
      <c r="AD142" s="46">
        <f>IF($B$136,,IF($I$142="nca",0,IF($I$142="ncb",IF($Z$142&gt;=0,-ABS($Z$142),0),IF($I$142="atb",0,IF($I$142="bta",IF($Z$142&lt;=0,0,IF($D$141+$AB$142&gt;0,0,IF(ABS($Z$142)&lt;ABS($D$141+$AB$142),-ABS($Z$142),$D$141+$AB$142))),"err")))))</f>
        <v>0</v>
      </c>
      <c r="AE142" s="46">
        <f>IF($B$136,,IF($I$142="nca",0,IF($I$142="ncb",IF($Z$142&lt;=0,-ABS($Z$142),0),IF($I$142="atb",IF($Z$142&lt;0,$Z$142+$AC$142,0),IF($I$142="bta",IF($Z$142&lt;=0,$Z$142,0),"err")))))</f>
        <v>0</v>
      </c>
      <c r="AF142" s="46">
        <f>IF($B$136,,IF($I$142="nca",IF($Z$142&lt;0,0,ABS($Z$142)),IF($I$142="ncb",0,IF($I$142="atb",IF($Z$142&lt;=0,0,$Z$142),IF($I$142="bta",IF($Z$142&lt;=0,0,$AD$142+$Z$142),"err")))))</f>
        <v>0</v>
      </c>
      <c r="AG142" s="46" t="b">
        <f>IF(SUM(COUNTIFS($AF$142,"&lt;&gt;0",$AF$142,"&lt;&gt;"),COUNTIFS($AC$142,"&lt;&gt;0",$AC$142,"&lt;&gt;"),COUNTIFS($AD$142,"&lt;&gt;0",$AD$142,"&lt;&gt;"),COUNTIFS($AE$142,"&lt;&gt;0",$AE$142,"&lt;&gt;"))=2,TRUE,FALSE)</f>
        <v>0</v>
      </c>
      <c r="AH142" s="46" t="e">
        <f>IF($B$136,NA(),IF($Z$142=0,NA(),IF($AG$142,SUM($AC$142,$AF$142,$AD$142,$AE$142)/2,IF(OR($AF$142&lt;&gt;0,$AD$142&lt;&gt;0),$D$141+$AB$142,$D$141-$AA$142)+$Z$142/2)))</f>
        <v>#N/A</v>
      </c>
    </row>
    <row r="143" spans="1:34">
      <c r="A143" s="46"/>
      <c r="B143" s="46"/>
      <c r="C143" s="46" t="e">
        <f>#REF!</f>
        <v>#REF!</v>
      </c>
      <c r="D143" s="46" t="e">
        <f>$C$143</f>
        <v>#REF!</v>
      </c>
      <c r="E143" s="46"/>
      <c r="F143" s="46"/>
      <c r="G143" s="46"/>
      <c r="H143" s="46"/>
      <c r="I143" s="46"/>
      <c r="J143" s="46"/>
      <c r="K143" s="46" t="e">
        <f>IF(COUNTIF(#REF!, "= 0")+ COUNTBLANK(#REF!) = 1,NA(),IF($B$135,$D$143,NA()))</f>
        <v>#REF!</v>
      </c>
      <c r="L143" s="46" t="e">
        <f>$D$143</f>
        <v>#REF!</v>
      </c>
      <c r="M143" s="46" t="e">
        <f>IF(COUNTIF(#REF!, "= 0")+ COUNTBLANK(#REF!) = 1,NA(),IF($B$135,NA(),IF($C$143&gt;= 0,$R$143,NA())))</f>
        <v>#REF!</v>
      </c>
      <c r="N143" s="46" t="e">
        <f>IF(COUNTIF(#REF!, "= 0")+ COUNTBLANK(#REF!) = 1,NA(),IF($B$135,NA(),IF($C$143&lt;= 0,$Q$143,NA())))</f>
        <v>#REF!</v>
      </c>
      <c r="O143" s="46" t="e">
        <f>$C$143</f>
        <v>#REF!</v>
      </c>
      <c r="P143" s="46" t="e">
        <f>$C$143</f>
        <v>#REF!</v>
      </c>
      <c r="Q143" s="46">
        <f>SUMIF($Z$143:$Z$143,"&lt;0")</f>
        <v>0</v>
      </c>
      <c r="R143" s="46">
        <f>SUMIF($Z$143:$Z$143,"&gt;0")</f>
        <v>0</v>
      </c>
      <c r="S143" s="46"/>
      <c r="T143" s="46"/>
      <c r="U143" s="46"/>
      <c r="V143" s="46"/>
      <c r="W143" s="46"/>
      <c r="X143" s="46"/>
      <c r="Y143" s="46" t="e">
        <f>IF(IF($B$136,$C$138 = 0,COUNTIF(#REF!, "= 0")+ COUNTBLANK(#REF!) = 1),$Y$142,NA())</f>
        <v>#REF!</v>
      </c>
      <c r="Z143" s="46" t="e">
        <f>#REF!</f>
        <v>#REF!</v>
      </c>
      <c r="AA143" s="46">
        <v>0</v>
      </c>
      <c r="AB143" s="46">
        <v>0</v>
      </c>
      <c r="AC143" s="46"/>
      <c r="AD143" s="46"/>
      <c r="AE143" s="46">
        <f>IF($B$135,,IF($Z$143 &lt; 0,$Z$143,))</f>
        <v>0</v>
      </c>
      <c r="AF143" s="46">
        <f>IF($B$135,,IF($Z$143 &gt; 0,$Z$143,))</f>
        <v>0</v>
      </c>
      <c r="AG143" s="46"/>
      <c r="AH143" s="46" t="e">
        <f>IF($B$135,NA(),IF($Z$143 = 0,NA(),IF($Z$143 &gt; 0,$AB$143 + $Z$143/2,-$AA$143 + $Z$143/2)))</f>
        <v>#N/A</v>
      </c>
    </row>
    <row r="144" spans="1:34">
      <c r="A144" s="46"/>
      <c r="B144" s="46"/>
      <c r="C144" s="46" t="e">
        <f>#REF!</f>
        <v>#REF!</v>
      </c>
      <c r="D144" s="46" t="e">
        <f>SUM($D$143,$C$144)</f>
        <v>#REF!</v>
      </c>
      <c r="E144" s="46" t="e">
        <f>$D$143&gt;=0</f>
        <v>#REF!</v>
      </c>
      <c r="F144" s="46" t="e">
        <f>IF($B$136,AND($D$143&lt;=0,SUM($D$143,$C$144)&gt; 0),AND($D$143&lt;=0,SUM($D$143,$R$144)&gt; 0))</f>
        <v>#REF!</v>
      </c>
      <c r="G144" s="46" t="e">
        <f>IF($B$136,AND($D$143&gt;=0,SUM($D$143,$C$144)&lt; 0),AND($D$143&gt;=0,SUM($D$143,$Q$144)&lt; 0))</f>
        <v>#REF!</v>
      </c>
      <c r="H144" s="46" t="e">
        <f>OR($G$144,$F$144)</f>
        <v>#REF!</v>
      </c>
      <c r="I144" s="46" t="e">
        <f>IF($H$144,IF($G$144,"atb","bta"),IF($E$144,"nca","ncb"))</f>
        <v>#REF!</v>
      </c>
      <c r="J144" s="46" t="e">
        <f>IF($H$144,0,IF($B$136,IF($E$144,IF($C$144&gt;=0,$D$143,$D$143+$C$144),IF($C$144&gt;=0,$D$143+$C$144,$D$143)),IF($E$144,SUM($D$143,$Q$144),SUM($D$143,$R$144))))</f>
        <v>#REF!</v>
      </c>
      <c r="K144" s="46"/>
      <c r="L144" s="46"/>
      <c r="M144" s="46" t="e">
        <f>IF(COUNTIF(#REF!, "= 0")+ COUNTBLANK(#REF!) = 1,NA(),IF($B$136,NA(),IF($C$144&gt;=0,SUM($D$143,$R$144),NA())))</f>
        <v>#REF!</v>
      </c>
      <c r="N144" s="46" t="e">
        <f>IF(COUNTIF(#REF!, "= 0")+ COUNTBLANK(#REF!) = 1,NA(),IF($B$136,NA(),IF($C$144&gt;=0,NA(),SUM($D$143,$Q$144))))</f>
        <v>#REF!</v>
      </c>
      <c r="O144" s="46" t="e">
        <f>$C$144</f>
        <v>#REF!</v>
      </c>
      <c r="P144" s="46" t="e">
        <f>$C$144</f>
        <v>#REF!</v>
      </c>
      <c r="Q144" s="46">
        <f>SUMIF($Z$144:$Z$144,"&lt;0")</f>
        <v>0</v>
      </c>
      <c r="R144" s="46">
        <f>SUMIF($Z$144:$Z$144,"&gt;0")</f>
        <v>0</v>
      </c>
      <c r="S144" s="46" t="e">
        <f>IF($B$136,IF($I$144="nca",IF($C$144&gt;=0,0,ABS($C$144)),IF($I$144="ncb",0,IF($I$144="atb",IF($C$144&gt;=0,0,IF($D$143&lt;0,0,IF(ABS($C$144)&gt;$D$143,$D$143,ABS($C$144)))),IF($I$144="bta",0,"err")))),)</f>
        <v>#REF!</v>
      </c>
      <c r="T144" s="46" t="e">
        <f>IF($B$136,IF($I$144="nca",IF($C$144&lt;0,0,ABS($C$144)),IF($I$144="ncb",0,IF($I$144="atb",IF($C$144&lt;=0,0,$C$144),IF($I$144="bta",IF($C$144&lt;=0,0,$V$144+$C$144),"err")))),)</f>
        <v>#REF!</v>
      </c>
      <c r="U144" s="46" t="e">
        <f>IF($B$136,IF($I$144="nca",0,IF($I$144="ncb",IF($C$144&lt;=0,-ABS($C$144),0),IF($I$144="atb",IF($C$144&lt;0,$C$144+$S$144,0),IF($I$144="bta",IF($C$144&lt;=0,$C$144,0),"err")))),)</f>
        <v>#REF!</v>
      </c>
      <c r="V144" s="46" t="e">
        <f>IF($B$136,IF($I$144="nca",0,IF($I$144="ncb",IF($C$144&gt;=0,-ABS($C$144),0),IF($I$144="atb",0,IF($I$144="bta",IF($C$144&lt;=0,0,IF($D$143&gt;0,0,IF(ABS($C$144)&lt;ABS($D$143),-ABS($C$144),$D$143))),"err")))),)</f>
        <v>#REF!</v>
      </c>
      <c r="W144" s="46" t="e">
        <f>IF($C$144&gt;=0,IF($B$136,IF($C$144=0,NA(),$D$144),NA()),NA())</f>
        <v>#REF!</v>
      </c>
      <c r="X144" s="46" t="e">
        <f>IF($C$144&lt;0,IF($B$136,IF($C$144=0,NA(),$D$144),NA()),NA())</f>
        <v>#REF!</v>
      </c>
      <c r="Y144" s="46" t="e">
        <f>$D$138</f>
        <v>#REF!</v>
      </c>
      <c r="Z144" s="46" t="e">
        <f>#REF!</f>
        <v>#REF!</v>
      </c>
      <c r="AA144" s="46">
        <v>0</v>
      </c>
      <c r="AB144" s="46">
        <v>0</v>
      </c>
      <c r="AC144" s="46">
        <f>IF($B$136,,IF($I$144="nca",IF($Z$144&gt;=0,0,ABS($Z$144)),IF($I$144="ncb",0,IF($I$144="atb",IF($Z$144&gt;=0,0,IF($D$143-$AA$144&lt;0,0,IF(ABS($Z$144)&gt;$D$143-$AA$144,$D$143-$AA$144,ABS($Z$144)))),IF($I$144="bta",0,"err")))))</f>
        <v>0</v>
      </c>
      <c r="AD144" s="46">
        <f>IF($B$136,,IF($I$144="nca",0,IF($I$144="ncb",IF($Z$144&gt;=0,-ABS($Z$144),0),IF($I$144="atb",0,IF($I$144="bta",IF($Z$144&lt;=0,0,IF($D$143+$AB$144&gt;0,0,IF(ABS($Z$144)&lt;ABS($D$143+$AB$144),-ABS($Z$144),$D$143+$AB$144))),"err")))))</f>
        <v>0</v>
      </c>
      <c r="AE144" s="46">
        <f>IF($B$136,,IF($I$144="nca",0,IF($I$144="ncb",IF($Z$144&lt;=0,-ABS($Z$144),0),IF($I$144="atb",IF($Z$144&lt;0,$Z$144+$AC$144,0),IF($I$144="bta",IF($Z$144&lt;=0,$Z$144,0),"err")))))</f>
        <v>0</v>
      </c>
      <c r="AF144" s="46">
        <f>IF($B$136,,IF($I$144="nca",IF($Z$144&lt;0,0,ABS($Z$144)),IF($I$144="ncb",0,IF($I$144="atb",IF($Z$144&lt;=0,0,$Z$144),IF($I$144="bta",IF($Z$144&lt;=0,0,$AD$144+$Z$144),"err")))))</f>
        <v>0</v>
      </c>
      <c r="AG144" s="46" t="b">
        <f>IF(SUM(COUNTIFS($AF$144,"&lt;&gt;0",$AF$144,"&lt;&gt;"),COUNTIFS($AC$144,"&lt;&gt;0",$AC$144,"&lt;&gt;"),COUNTIFS($AD$144,"&lt;&gt;0",$AD$144,"&lt;&gt;"),COUNTIFS($AE$144,"&lt;&gt;0",$AE$144,"&lt;&gt;"))=2,TRUE,FALSE)</f>
        <v>0</v>
      </c>
      <c r="AH144" s="46" t="e">
        <f>IF($B$136,NA(),IF($Z$144=0,NA(),IF($AG$144,SUM($AC$144,$AF$144,$AD$144,$AE$144)/2,IF(OR($AF$144&lt;&gt;0,$AD$144&lt;&gt;0),$D$143+$AB$144,$D$143-$AA$144)+$Z$144/2)))</f>
        <v>#N/A</v>
      </c>
    </row>
    <row r="145" spans="1:34">
      <c r="A145" s="46"/>
      <c r="B145" s="46"/>
      <c r="C145" s="46" t="e">
        <f>#REF!</f>
        <v>#REF!</v>
      </c>
      <c r="D145" s="46" t="e">
        <f>SUM($D$144,$C$145)</f>
        <v>#REF!</v>
      </c>
      <c r="E145" s="46" t="e">
        <f>$D$144&gt;=0</f>
        <v>#REF!</v>
      </c>
      <c r="F145" s="46" t="e">
        <f>IF($B$136,AND($D$144&lt;=0,SUM($D$144,$C$145)&gt; 0),AND($D$144&lt;=0,SUM($D$144,$R$145)&gt; 0))</f>
        <v>#REF!</v>
      </c>
      <c r="G145" s="46" t="e">
        <f>IF($B$136,AND($D$144&gt;=0,SUM($D$144,$C$145)&lt; 0),AND($D$144&gt;=0,SUM($D$144,$Q$145)&lt; 0))</f>
        <v>#REF!</v>
      </c>
      <c r="H145" s="46" t="e">
        <f>OR($G$145,$F$145)</f>
        <v>#REF!</v>
      </c>
      <c r="I145" s="46" t="e">
        <f>IF($H$145,IF($G$145,"atb","bta"),IF($E$145,"nca","ncb"))</f>
        <v>#REF!</v>
      </c>
      <c r="J145" s="46" t="e">
        <f>IF($H$145,0,IF($B$136,IF($E$145,IF($C$145&gt;=0,$D$144,$D$144+$C$145),IF($C$145&gt;=0,$D$144+$C$145,$D$144)),IF($E$145,SUM($D$144,$Q$145),SUM($D$144,$R$145))))</f>
        <v>#REF!</v>
      </c>
      <c r="K145" s="46"/>
      <c r="L145" s="46"/>
      <c r="M145" s="46" t="e">
        <f>IF(COUNTIF(#REF!, "= 0")+ COUNTBLANK(#REF!) = 1,NA(),IF($B$136,NA(),IF($C$145&gt;=0,SUM($D$144,$R$145),NA())))</f>
        <v>#REF!</v>
      </c>
      <c r="N145" s="46" t="e">
        <f>IF(COUNTIF(#REF!, "= 0")+ COUNTBLANK(#REF!) = 1,NA(),IF($B$136,NA(),IF($C$145&gt;=0,NA(),SUM($D$144,$Q$145))))</f>
        <v>#REF!</v>
      </c>
      <c r="O145" s="46" t="e">
        <f>$C$145</f>
        <v>#REF!</v>
      </c>
      <c r="P145" s="46" t="e">
        <f>$C$145</f>
        <v>#REF!</v>
      </c>
      <c r="Q145" s="46">
        <f>SUMIF($Z$145:$Z$145,"&lt;0")</f>
        <v>0</v>
      </c>
      <c r="R145" s="46">
        <f>SUMIF($Z$145:$Z$145,"&gt;0")</f>
        <v>0</v>
      </c>
      <c r="S145" s="46" t="e">
        <f>IF($B$136,IF($I$145="nca",IF($C$145&gt;=0,0,ABS($C$145)),IF($I$145="ncb",0,IF($I$145="atb",IF($C$145&gt;=0,0,IF($D$144&lt;0,0,IF(ABS($C$145)&gt;$D$144,$D$144,ABS($C$145)))),IF($I$145="bta",0,"err")))),)</f>
        <v>#REF!</v>
      </c>
      <c r="T145" s="46" t="e">
        <f>IF($B$136,IF($I$145="nca",IF($C$145&lt;0,0,ABS($C$145)),IF($I$145="ncb",0,IF($I$145="atb",IF($C$145&lt;=0,0,$C$145),IF($I$145="bta",IF($C$145&lt;=0,0,$V$145+$C$145),"err")))),)</f>
        <v>#REF!</v>
      </c>
      <c r="U145" s="46" t="e">
        <f>IF($B$136,IF($I$145="nca",0,IF($I$145="ncb",IF($C$145&lt;=0,-ABS($C$145),0),IF($I$145="atb",IF($C$145&lt;0,$C$145+$S$145,0),IF($I$145="bta",IF($C$145&lt;=0,$C$145,0),"err")))),)</f>
        <v>#REF!</v>
      </c>
      <c r="V145" s="46" t="e">
        <f>IF($B$136,IF($I$145="nca",0,IF($I$145="ncb",IF($C$145&gt;=0,-ABS($C$145),0),IF($I$145="atb",0,IF($I$145="bta",IF($C$145&lt;=0,0,IF($D$144&gt;0,0,IF(ABS($C$145)&lt;ABS($D$144),-ABS($C$145),$D$144))),"err")))),)</f>
        <v>#REF!</v>
      </c>
      <c r="W145" s="46" t="e">
        <f>IF($C$145&gt;=0,IF($B$136,IF($C$145=0,NA(),$D$145),NA()),NA())</f>
        <v>#REF!</v>
      </c>
      <c r="X145" s="46" t="e">
        <f>IF($C$145&lt;0,IF($B$136,IF($C$145=0,NA(),$D$145),NA()),NA())</f>
        <v>#REF!</v>
      </c>
      <c r="Y145" s="46" t="e">
        <f>$D$138</f>
        <v>#REF!</v>
      </c>
      <c r="Z145" s="46" t="e">
        <f>#REF!</f>
        <v>#REF!</v>
      </c>
      <c r="AA145" s="46">
        <v>0</v>
      </c>
      <c r="AB145" s="46">
        <v>0</v>
      </c>
      <c r="AC145" s="46">
        <f>IF($B$136,,IF($I$145="nca",IF($Z$145&gt;=0,0,ABS($Z$145)),IF($I$145="ncb",0,IF($I$145="atb",IF($Z$145&gt;=0,0,IF($D$144-$AA$145&lt;0,0,IF(ABS($Z$145)&gt;$D$144-$AA$145,$D$144-$AA$145,ABS($Z$145)))),IF($I$145="bta",0,"err")))))</f>
        <v>0</v>
      </c>
      <c r="AD145" s="46">
        <f>IF($B$136,,IF($I$145="nca",0,IF($I$145="ncb",IF($Z$145&gt;=0,-ABS($Z$145),0),IF($I$145="atb",0,IF($I$145="bta",IF($Z$145&lt;=0,0,IF($D$144+$AB$145&gt;0,0,IF(ABS($Z$145)&lt;ABS($D$144+$AB$145),-ABS($Z$145),$D$144+$AB$145))),"err")))))</f>
        <v>0</v>
      </c>
      <c r="AE145" s="46">
        <f>IF($B$136,,IF($I$145="nca",0,IF($I$145="ncb",IF($Z$145&lt;=0,-ABS($Z$145),0),IF($I$145="atb",IF($Z$145&lt;0,$Z$145+$AC$145,0),IF($I$145="bta",IF($Z$145&lt;=0,$Z$145,0),"err")))))</f>
        <v>0</v>
      </c>
      <c r="AF145" s="46">
        <f>IF($B$136,,IF($I$145="nca",IF($Z$145&lt;0,0,ABS($Z$145)),IF($I$145="ncb",0,IF($I$145="atb",IF($Z$145&lt;=0,0,$Z$145),IF($I$145="bta",IF($Z$145&lt;=0,0,$AD$145+$Z$145),"err")))))</f>
        <v>0</v>
      </c>
      <c r="AG145" s="46" t="b">
        <f>IF(SUM(COUNTIFS($AF$145,"&lt;&gt;0",$AF$145,"&lt;&gt;"),COUNTIFS($AC$145,"&lt;&gt;0",$AC$145,"&lt;&gt;"),COUNTIFS($AD$145,"&lt;&gt;0",$AD$145,"&lt;&gt;"),COUNTIFS($AE$145,"&lt;&gt;0",$AE$145,"&lt;&gt;"))=2,TRUE,FALSE)</f>
        <v>0</v>
      </c>
      <c r="AH145" s="46" t="e">
        <f>IF($B$136,NA(),IF($Z$145=0,NA(),IF($AG$145,SUM($AC$145,$AF$145,$AD$145,$AE$145)/2,IF(OR($AF$145&lt;&gt;0,$AD$145&lt;&gt;0),$D$144+$AB$145,$D$144-$AA$145)+$Z$145/2)))</f>
        <v>#N/A</v>
      </c>
    </row>
    <row r="146" spans="1:34">
      <c r="A146" s="46"/>
      <c r="B146" s="46"/>
      <c r="C146" s="46" t="e">
        <f>#REF!</f>
        <v>#REF!</v>
      </c>
      <c r="D146" s="46" t="e">
        <f>SUM($D$145,$C$146)</f>
        <v>#REF!</v>
      </c>
      <c r="E146" s="46" t="e">
        <f>$D$145&gt;=0</f>
        <v>#REF!</v>
      </c>
      <c r="F146" s="46" t="e">
        <f>IF($B$136,AND($D$145&lt;=0,SUM($D$145,$C$146)&gt; 0),AND($D$145&lt;=0,SUM($D$145,$R$146)&gt; 0))</f>
        <v>#REF!</v>
      </c>
      <c r="G146" s="46" t="e">
        <f>IF($B$136,AND($D$145&gt;=0,SUM($D$145,$C$146)&lt; 0),AND($D$145&gt;=0,SUM($D$145,$Q$146)&lt; 0))</f>
        <v>#REF!</v>
      </c>
      <c r="H146" s="46" t="e">
        <f>OR($G$146,$F$146)</f>
        <v>#REF!</v>
      </c>
      <c r="I146" s="46" t="e">
        <f>IF($H$146,IF($G$146,"atb","bta"),IF($E$146,"nca","ncb"))</f>
        <v>#REF!</v>
      </c>
      <c r="J146" s="46" t="e">
        <f>IF($H$146,0,IF($B$136,IF($E$146,IF($C$146&gt;=0,$D$145,$D$145+$C$146),IF($C$146&gt;=0,$D$145+$C$146,$D$145)),IF($E$146,SUM($D$145,$Q$146),SUM($D$145,$R$146))))</f>
        <v>#REF!</v>
      </c>
      <c r="K146" s="46"/>
      <c r="L146" s="46"/>
      <c r="M146" s="46" t="e">
        <f>IF(COUNTIF(#REF!, "= 0")+ COUNTBLANK(#REF!) = 1,NA(),IF($B$136,NA(),IF($C$146&gt;=0,SUM($D$145,$R$146),NA())))</f>
        <v>#REF!</v>
      </c>
      <c r="N146" s="46" t="e">
        <f>IF(COUNTIF(#REF!, "= 0")+ COUNTBLANK(#REF!) = 1,NA(),IF($B$136,NA(),IF($C$146&gt;=0,NA(),SUM($D$145,$Q$146))))</f>
        <v>#REF!</v>
      </c>
      <c r="O146" s="46" t="e">
        <f>$C$146</f>
        <v>#REF!</v>
      </c>
      <c r="P146" s="46" t="e">
        <f>$C$146</f>
        <v>#REF!</v>
      </c>
      <c r="Q146" s="46">
        <f>SUMIF($Z$146:$Z$146,"&lt;0")</f>
        <v>0</v>
      </c>
      <c r="R146" s="46">
        <f>SUMIF($Z$146:$Z$146,"&gt;0")</f>
        <v>0</v>
      </c>
      <c r="S146" s="46" t="e">
        <f>IF($B$136,IF($I$146="nca",IF($C$146&gt;=0,0,ABS($C$146)),IF($I$146="ncb",0,IF($I$146="atb",IF($C$146&gt;=0,0,IF($D$145&lt;0,0,IF(ABS($C$146)&gt;$D$145,$D$145,ABS($C$146)))),IF($I$146="bta",0,"err")))),)</f>
        <v>#REF!</v>
      </c>
      <c r="T146" s="46" t="e">
        <f>IF($B$136,IF($I$146="nca",IF($C$146&lt;0,0,ABS($C$146)),IF($I$146="ncb",0,IF($I$146="atb",IF($C$146&lt;=0,0,$C$146),IF($I$146="bta",IF($C$146&lt;=0,0,$V$146+$C$146),"err")))),)</f>
        <v>#REF!</v>
      </c>
      <c r="U146" s="46" t="e">
        <f>IF($B$136,IF($I$146="nca",0,IF($I$146="ncb",IF($C$146&lt;=0,-ABS($C$146),0),IF($I$146="atb",IF($C$146&lt;0,$C$146+$S$146,0),IF($I$146="bta",IF($C$146&lt;=0,$C$146,0),"err")))),)</f>
        <v>#REF!</v>
      </c>
      <c r="V146" s="46" t="e">
        <f>IF($B$136,IF($I$146="nca",0,IF($I$146="ncb",IF($C$146&gt;=0,-ABS($C$146),0),IF($I$146="atb",0,IF($I$146="bta",IF($C$146&lt;=0,0,IF($D$145&gt;0,0,IF(ABS($C$146)&lt;ABS($D$145),-ABS($C$146),$D$145))),"err")))),)</f>
        <v>#REF!</v>
      </c>
      <c r="W146" s="46" t="e">
        <f>IF($C$146&gt;=0,IF($B$136,IF($C$146=0,NA(),$D$146),NA()),NA())</f>
        <v>#REF!</v>
      </c>
      <c r="X146" s="46" t="e">
        <f>IF($C$146&lt;0,IF($B$136,IF($C$146=0,NA(),$D$146),NA()),NA())</f>
        <v>#REF!</v>
      </c>
      <c r="Y146" s="46" t="e">
        <f>IF(IF($B$136,$C$139 = 0,COUNTIF(#REF!, "= 0")+ COUNTBLANK(#REF!) = 1),$Y$145,NA())</f>
        <v>#REF!</v>
      </c>
      <c r="Z146" s="46" t="e">
        <f>#REF!</f>
        <v>#REF!</v>
      </c>
      <c r="AA146" s="46">
        <v>0</v>
      </c>
      <c r="AB146" s="46">
        <v>0</v>
      </c>
      <c r="AC146" s="46">
        <f>IF($B$136,,IF($I$146="nca",IF($Z$146&gt;=0,0,ABS($Z$146)),IF($I$146="ncb",0,IF($I$146="atb",IF($Z$146&gt;=0,0,IF($D$145-$AA$146&lt;0,0,IF(ABS($Z$146)&gt;$D$145-$AA$146,$D$145-$AA$146,ABS($Z$146)))),IF($I$146="bta",0,"err")))))</f>
        <v>0</v>
      </c>
      <c r="AD146" s="46">
        <f>IF($B$136,,IF($I$146="nca",0,IF($I$146="ncb",IF($Z$146&gt;=0,-ABS($Z$146),0),IF($I$146="atb",0,IF($I$146="bta",IF($Z$146&lt;=0,0,IF($D$145+$AB$146&gt;0,0,IF(ABS($Z$146)&lt;ABS($D$145+$AB$146),-ABS($Z$146),$D$145+$AB$146))),"err")))))</f>
        <v>0</v>
      </c>
      <c r="AE146" s="46">
        <f>IF($B$136,,IF($I$146="nca",0,IF($I$146="ncb",IF($Z$146&lt;=0,-ABS($Z$146),0),IF($I$146="atb",IF($Z$146&lt;0,$Z$146+$AC$146,0),IF($I$146="bta",IF($Z$146&lt;=0,$Z$146,0),"err")))))</f>
        <v>0</v>
      </c>
      <c r="AF146" s="46">
        <f>IF($B$136,,IF($I$146="nca",IF($Z$146&lt;0,0,ABS($Z$146)),IF($I$146="ncb",0,IF($I$146="atb",IF($Z$146&lt;=0,0,$Z$146),IF($I$146="bta",IF($Z$146&lt;=0,0,$AD$146+$Z$146),"err")))))</f>
        <v>0</v>
      </c>
      <c r="AG146" s="46" t="b">
        <f>IF(SUM(COUNTIFS($AF$146,"&lt;&gt;0",$AF$146,"&lt;&gt;"),COUNTIFS($AC$146,"&lt;&gt;0",$AC$146,"&lt;&gt;"),COUNTIFS($AD$146,"&lt;&gt;0",$AD$146,"&lt;&gt;"),COUNTIFS($AE$146,"&lt;&gt;0",$AE$146,"&lt;&gt;"))=2,TRUE,FALSE)</f>
        <v>0</v>
      </c>
      <c r="AH146" s="46" t="e">
        <f>IF($B$136,NA(),IF($Z$146=0,NA(),IF($AG$146,SUM($AC$146,$AF$146,$AD$146,$AE$146)/2,IF(OR($AF$146&lt;&gt;0,$AD$146&lt;&gt;0),$D$145+$AB$146,$D$145-$AA$146)+$Z$146/2)))</f>
        <v>#N/A</v>
      </c>
    </row>
    <row r="147" spans="1:34">
      <c r="A147" s="46"/>
      <c r="B147" s="46"/>
      <c r="C147" s="46" t="e">
        <f>#REF!</f>
        <v>#REF!</v>
      </c>
      <c r="D147" s="46" t="e">
        <f>SUM($D$146,$C$147)</f>
        <v>#REF!</v>
      </c>
      <c r="E147" s="46" t="e">
        <f>$D$146&gt;=0</f>
        <v>#REF!</v>
      </c>
      <c r="F147" s="46" t="e">
        <f>IF($B$136,AND($D$146&lt;=0,SUM($D$146,$C$147)&gt; 0),AND($D$146&lt;=0,SUM($D$146,$R$147)&gt; 0))</f>
        <v>#REF!</v>
      </c>
      <c r="G147" s="46" t="e">
        <f>IF($B$136,AND($D$146&gt;=0,SUM($D$146,$C$147)&lt; 0),AND($D$146&gt;=0,SUM($D$146,$Q$147)&lt; 0))</f>
        <v>#REF!</v>
      </c>
      <c r="H147" s="46" t="e">
        <f>OR($G$147,$F$147)</f>
        <v>#REF!</v>
      </c>
      <c r="I147" s="46" t="e">
        <f>IF($H$147,IF($G$147,"atb","bta"),IF($E$147,"nca","ncb"))</f>
        <v>#REF!</v>
      </c>
      <c r="J147" s="46" t="e">
        <f>IF($H$147,0,IF($B$136,IF($E$147,IF($C$147&gt;=0,$D$146,$D$146+$C$147),IF($C$147&gt;=0,$D$146+$C$147,$D$146)),IF($E$147,SUM($D$146,$Q$147),SUM($D$146,$R$147))))</f>
        <v>#REF!</v>
      </c>
      <c r="K147" s="46"/>
      <c r="L147" s="46"/>
      <c r="M147" s="46" t="e">
        <f>IF(COUNTIF(#REF!, "= 0")+ COUNTBLANK(#REF!) = 1,NA(),IF($B$136,NA(),IF($C$147&gt;=0,SUM($D$146,$R$147),NA())))</f>
        <v>#REF!</v>
      </c>
      <c r="N147" s="46" t="e">
        <f>IF(COUNTIF(#REF!, "= 0")+ COUNTBLANK(#REF!) = 1,NA(),IF($B$136,NA(),IF($C$147&gt;=0,NA(),SUM($D$146,$Q$147))))</f>
        <v>#REF!</v>
      </c>
      <c r="O147" s="46" t="e">
        <f>$C$147</f>
        <v>#REF!</v>
      </c>
      <c r="P147" s="46" t="e">
        <f>$C$147</f>
        <v>#REF!</v>
      </c>
      <c r="Q147" s="46">
        <f>SUMIF($Z$147:$Z$147,"&lt;0")</f>
        <v>0</v>
      </c>
      <c r="R147" s="46">
        <f>SUMIF($Z$147:$Z$147,"&gt;0")</f>
        <v>0</v>
      </c>
      <c r="S147" s="46" t="e">
        <f>IF($B$136,IF($I$147="nca",IF($C$147&gt;=0,0,ABS($C$147)),IF($I$147="ncb",0,IF($I$147="atb",IF($C$147&gt;=0,0,IF($D$146&lt;0,0,IF(ABS($C$147)&gt;$D$146,$D$146,ABS($C$147)))),IF($I$147="bta",0,"err")))),)</f>
        <v>#REF!</v>
      </c>
      <c r="T147" s="46" t="e">
        <f>IF($B$136,IF($I$147="nca",IF($C$147&lt;0,0,ABS($C$147)),IF($I$147="ncb",0,IF($I$147="atb",IF($C$147&lt;=0,0,$C$147),IF($I$147="bta",IF($C$147&lt;=0,0,$V$147+$C$147),"err")))),)</f>
        <v>#REF!</v>
      </c>
      <c r="U147" s="46" t="e">
        <f>IF($B$136,IF($I$147="nca",0,IF($I$147="ncb",IF($C$147&lt;=0,-ABS($C$147),0),IF($I$147="atb",IF($C$147&lt;0,$C$147+$S$147,0),IF($I$147="bta",IF($C$147&lt;=0,$C$147,0),"err")))),)</f>
        <v>#REF!</v>
      </c>
      <c r="V147" s="46" t="e">
        <f>IF($B$136,IF($I$147="nca",0,IF($I$147="ncb",IF($C$147&gt;=0,-ABS($C$147),0),IF($I$147="atb",0,IF($I$147="bta",IF($C$147&lt;=0,0,IF($D$146&gt;0,0,IF(ABS($C$147)&lt;ABS($D$146),-ABS($C$147),$D$146))),"err")))),)</f>
        <v>#REF!</v>
      </c>
      <c r="W147" s="46" t="e">
        <f>IF($C$147&gt;=0,IF($B$136,IF($C$147=0,NA(),$D$147),NA()),NA())</f>
        <v>#REF!</v>
      </c>
      <c r="X147" s="46" t="e">
        <f>IF($C$147&lt;0,IF($B$136,IF($C$147=0,NA(),$D$147),NA()),NA())</f>
        <v>#REF!</v>
      </c>
      <c r="Y147" s="46" t="e">
        <f>$D$139</f>
        <v>#REF!</v>
      </c>
      <c r="Z147" s="46" t="e">
        <f>#REF!</f>
        <v>#REF!</v>
      </c>
      <c r="AA147" s="46">
        <v>0</v>
      </c>
      <c r="AB147" s="46">
        <v>0</v>
      </c>
      <c r="AC147" s="46">
        <f>IF($B$136,,IF($I$147="nca",IF($Z$147&gt;=0,0,ABS($Z$147)),IF($I$147="ncb",0,IF($I$147="atb",IF($Z$147&gt;=0,0,IF($D$146-$AA$147&lt;0,0,IF(ABS($Z$147)&gt;$D$146-$AA$147,$D$146-$AA$147,ABS($Z$147)))),IF($I$147="bta",0,"err")))))</f>
        <v>0</v>
      </c>
      <c r="AD147" s="46">
        <f>IF($B$136,,IF($I$147="nca",0,IF($I$147="ncb",IF($Z$147&gt;=0,-ABS($Z$147),0),IF($I$147="atb",0,IF($I$147="bta",IF($Z$147&lt;=0,0,IF($D$146+$AB$147&gt;0,0,IF(ABS($Z$147)&lt;ABS($D$146+$AB$147),-ABS($Z$147),$D$146+$AB$147))),"err")))))</f>
        <v>0</v>
      </c>
      <c r="AE147" s="46">
        <f>IF($B$136,,IF($I$147="nca",0,IF($I$147="ncb",IF($Z$147&lt;=0,-ABS($Z$147),0),IF($I$147="atb",IF($Z$147&lt;0,$Z$147+$AC$147,0),IF($I$147="bta",IF($Z$147&lt;=0,$Z$147,0),"err")))))</f>
        <v>0</v>
      </c>
      <c r="AF147" s="46">
        <f>IF($B$136,,IF($I$147="nca",IF($Z$147&lt;0,0,ABS($Z$147)),IF($I$147="ncb",0,IF($I$147="atb",IF($Z$147&lt;=0,0,$Z$147),IF($I$147="bta",IF($Z$147&lt;=0,0,$AD$147+$Z$147),"err")))))</f>
        <v>0</v>
      </c>
      <c r="AG147" s="46" t="b">
        <f>IF(SUM(COUNTIFS($AF$147,"&lt;&gt;0",$AF$147,"&lt;&gt;"),COUNTIFS($AC$147,"&lt;&gt;0",$AC$147,"&lt;&gt;"),COUNTIFS($AD$147,"&lt;&gt;0",$AD$147,"&lt;&gt;"),COUNTIFS($AE$147,"&lt;&gt;0",$AE$147,"&lt;&gt;"))=2,TRUE,FALSE)</f>
        <v>0</v>
      </c>
      <c r="AH147" s="46" t="e">
        <f>IF($B$136,NA(),IF($Z$147=0,NA(),IF($AG$147,SUM($AC$147,$AF$147,$AD$147,$AE$147)/2,IF(OR($AF$147&lt;&gt;0,$AD$147&lt;&gt;0),$D$146+$AB$147,$D$146-$AA$147)+$Z$147/2)))</f>
        <v>#N/A</v>
      </c>
    </row>
    <row r="148" spans="1:34">
      <c r="A148" s="46"/>
      <c r="B148" s="46"/>
      <c r="C148" s="46" t="e">
        <f>#REF!</f>
        <v>#REF!</v>
      </c>
      <c r="D148" s="46" t="e">
        <f>SUM($D$147,$C$148)</f>
        <v>#REF!</v>
      </c>
      <c r="E148" s="46" t="e">
        <f>$D$147&gt;=0</f>
        <v>#REF!</v>
      </c>
      <c r="F148" s="46" t="e">
        <f>IF($B$136,AND($D$147&lt;=0,SUM($D$147,$C$148)&gt; 0),AND($D$147&lt;=0,SUM($D$147,$R$148)&gt; 0))</f>
        <v>#REF!</v>
      </c>
      <c r="G148" s="46" t="e">
        <f>IF($B$136,AND($D$147&gt;=0,SUM($D$147,$C$148)&lt; 0),AND($D$147&gt;=0,SUM($D$147,$Q$148)&lt; 0))</f>
        <v>#REF!</v>
      </c>
      <c r="H148" s="46" t="e">
        <f>OR($G$148,$F$148)</f>
        <v>#REF!</v>
      </c>
      <c r="I148" s="46" t="e">
        <f>IF($H$148,IF($G$148,"atb","bta"),IF($E$148,"nca","ncb"))</f>
        <v>#REF!</v>
      </c>
      <c r="J148" s="46" t="e">
        <f>IF($H$148,0,IF($B$136,IF($E$148,IF($C$148&gt;=0,$D$147,$D$147+$C$148),IF($C$148&gt;=0,$D$147+$C$148,$D$147)),IF($E$148,SUM($D$147,$Q$148),SUM($D$147,$R$148))))</f>
        <v>#REF!</v>
      </c>
      <c r="K148" s="46"/>
      <c r="L148" s="46"/>
      <c r="M148" s="46" t="e">
        <f>IF(COUNTIF(#REF!, "= 0")+ COUNTBLANK(#REF!) = 1,NA(),IF($B$136,NA(),IF($C$148&gt;=0,SUM($D$147,$R$148),NA())))</f>
        <v>#REF!</v>
      </c>
      <c r="N148" s="46" t="e">
        <f>IF(COUNTIF(#REF!, "= 0")+ COUNTBLANK(#REF!) = 1,NA(),IF($B$136,NA(),IF($C$148&gt;=0,NA(),SUM($D$147,$Q$148))))</f>
        <v>#REF!</v>
      </c>
      <c r="O148" s="46" t="e">
        <f>$C$148</f>
        <v>#REF!</v>
      </c>
      <c r="P148" s="46" t="e">
        <f>$C$148</f>
        <v>#REF!</v>
      </c>
      <c r="Q148" s="46">
        <f>SUMIF($Z$148:$Z$148,"&lt;0")</f>
        <v>0</v>
      </c>
      <c r="R148" s="46">
        <f>SUMIF($Z$148:$Z$148,"&gt;0")</f>
        <v>0</v>
      </c>
      <c r="S148" s="46" t="e">
        <f>IF($B$136,IF($I$148="nca",IF($C$148&gt;=0,0,ABS($C$148)),IF($I$148="ncb",0,IF($I$148="atb",IF($C$148&gt;=0,0,IF($D$147&lt;0,0,IF(ABS($C$148)&gt;$D$147,$D$147,ABS($C$148)))),IF($I$148="bta",0,"err")))),)</f>
        <v>#REF!</v>
      </c>
      <c r="T148" s="46" t="e">
        <f>IF($B$136,IF($I$148="nca",IF($C$148&lt;0,0,ABS($C$148)),IF($I$148="ncb",0,IF($I$148="atb",IF($C$148&lt;=0,0,$C$148),IF($I$148="bta",IF($C$148&lt;=0,0,$V$148+$C$148),"err")))),)</f>
        <v>#REF!</v>
      </c>
      <c r="U148" s="46" t="e">
        <f>IF($B$136,IF($I$148="nca",0,IF($I$148="ncb",IF($C$148&lt;=0,-ABS($C$148),0),IF($I$148="atb",IF($C$148&lt;0,$C$148+$S$148,0),IF($I$148="bta",IF($C$148&lt;=0,$C$148,0),"err")))),)</f>
        <v>#REF!</v>
      </c>
      <c r="V148" s="46" t="e">
        <f>IF($B$136,IF($I$148="nca",0,IF($I$148="ncb",IF($C$148&gt;=0,-ABS($C$148),0),IF($I$148="atb",0,IF($I$148="bta",IF($C$148&lt;=0,0,IF($D$147&gt;0,0,IF(ABS($C$148)&lt;ABS($D$147),-ABS($C$148),$D$147))),"err")))),)</f>
        <v>#REF!</v>
      </c>
      <c r="W148" s="46" t="e">
        <f>IF($C$148&gt;=0,IF($B$136,IF($C$148=0,NA(),$D$148),NA()),NA())</f>
        <v>#REF!</v>
      </c>
      <c r="X148" s="46" t="e">
        <f>IF($C$148&lt;0,IF($B$136,IF($C$148=0,NA(),$D$148),NA()),NA())</f>
        <v>#REF!</v>
      </c>
      <c r="Y148" s="46" t="e">
        <f>$D$139</f>
        <v>#REF!</v>
      </c>
      <c r="Z148" s="46" t="e">
        <f>#REF!</f>
        <v>#REF!</v>
      </c>
      <c r="AA148" s="46">
        <v>0</v>
      </c>
      <c r="AB148" s="46">
        <v>0</v>
      </c>
      <c r="AC148" s="46">
        <f>IF($B$136,,IF($I$148="nca",IF($Z$148&gt;=0,0,ABS($Z$148)),IF($I$148="ncb",0,IF($I$148="atb",IF($Z$148&gt;=0,0,IF($D$147-$AA$148&lt;0,0,IF(ABS($Z$148)&gt;$D$147-$AA$148,$D$147-$AA$148,ABS($Z$148)))),IF($I$148="bta",0,"err")))))</f>
        <v>0</v>
      </c>
      <c r="AD148" s="46">
        <f>IF($B$136,,IF($I$148="nca",0,IF($I$148="ncb",IF($Z$148&gt;=0,-ABS($Z$148),0),IF($I$148="atb",0,IF($I$148="bta",IF($Z$148&lt;=0,0,IF($D$147+$AB$148&gt;0,0,IF(ABS($Z$148)&lt;ABS($D$147+$AB$148),-ABS($Z$148),$D$147+$AB$148))),"err")))))</f>
        <v>0</v>
      </c>
      <c r="AE148" s="46">
        <f>IF($B$136,,IF($I$148="nca",0,IF($I$148="ncb",IF($Z$148&lt;=0,-ABS($Z$148),0),IF($I$148="atb",IF($Z$148&lt;0,$Z$148+$AC$148,0),IF($I$148="bta",IF($Z$148&lt;=0,$Z$148,0),"err")))))</f>
        <v>0</v>
      </c>
      <c r="AF148" s="46">
        <f>IF($B$136,,IF($I$148="nca",IF($Z$148&lt;0,0,ABS($Z$148)),IF($I$148="ncb",0,IF($I$148="atb",IF($Z$148&lt;=0,0,$Z$148),IF($I$148="bta",IF($Z$148&lt;=0,0,$AD$148+$Z$148),"err")))))</f>
        <v>0</v>
      </c>
      <c r="AG148" s="46" t="b">
        <f>IF(SUM(COUNTIFS($AF$148,"&lt;&gt;0",$AF$148,"&lt;&gt;"),COUNTIFS($AC$148,"&lt;&gt;0",$AC$148,"&lt;&gt;"),COUNTIFS($AD$148,"&lt;&gt;0",$AD$148,"&lt;&gt;"),COUNTIFS($AE$148,"&lt;&gt;0",$AE$148,"&lt;&gt;"))=2,TRUE,FALSE)</f>
        <v>0</v>
      </c>
      <c r="AH148" s="46" t="e">
        <f>IF($B$136,NA(),IF($Z$148=0,NA(),IF($AG$148,SUM($AC$148,$AF$148,$AD$148,$AE$148)/2,IF(OR($AF$148&lt;&gt;0,$AD$148&lt;&gt;0),$D$147+$AB$148,$D$147-$AA$148)+$Z$148/2)))</f>
        <v>#N/A</v>
      </c>
    </row>
    <row r="149" spans="1:34">
      <c r="A149" s="46"/>
      <c r="B149" s="46"/>
      <c r="C149" s="46" t="e">
        <f>#REF!</f>
        <v>#REF!</v>
      </c>
      <c r="D149" s="46" t="e">
        <f>SUM($D$148,$C$149)</f>
        <v>#REF!</v>
      </c>
      <c r="E149" s="46" t="e">
        <f>$D$148&gt;=0</f>
        <v>#REF!</v>
      </c>
      <c r="F149" s="46" t="e">
        <f>IF($B$136,AND($D$148&lt;=0,SUM($D$148,$C$149)&gt; 0),AND($D$148&lt;=0,SUM($D$148,$R$149)&gt; 0))</f>
        <v>#REF!</v>
      </c>
      <c r="G149" s="46" t="e">
        <f>IF($B$136,AND($D$148&gt;=0,SUM($D$148,$C$149)&lt; 0),AND($D$148&gt;=0,SUM($D$148,$Q$149)&lt; 0))</f>
        <v>#REF!</v>
      </c>
      <c r="H149" s="46" t="e">
        <f>OR($G$149,$F$149)</f>
        <v>#REF!</v>
      </c>
      <c r="I149" s="46" t="e">
        <f>IF($H$149,IF($G$149,"atb","bta"),IF($E$149,"nca","ncb"))</f>
        <v>#REF!</v>
      </c>
      <c r="J149" s="46" t="e">
        <f>IF($H$149,0,IF($B$136,IF($E$149,IF($C$149&gt;=0,$D$148,$D$148+$C$149),IF($C$149&gt;=0,$D$148+$C$149,$D$148)),IF($E$149,SUM($D$148,$Q$149),SUM($D$148,$R$149))))</f>
        <v>#REF!</v>
      </c>
      <c r="K149" s="46"/>
      <c r="L149" s="46"/>
      <c r="M149" s="46" t="e">
        <f>IF(COUNTIF(#REF!, "= 0")+ COUNTBLANK(#REF!) = 1,NA(),IF($B$136,NA(),IF($C$149&gt;=0,SUM($D$148,$R$149),NA())))</f>
        <v>#REF!</v>
      </c>
      <c r="N149" s="46" t="e">
        <f>IF(COUNTIF(#REF!, "= 0")+ COUNTBLANK(#REF!) = 1,NA(),IF($B$136,NA(),IF($C$149&gt;=0,NA(),SUM($D$148,$Q$149))))</f>
        <v>#REF!</v>
      </c>
      <c r="O149" s="46" t="e">
        <f>$C$149</f>
        <v>#REF!</v>
      </c>
      <c r="P149" s="46" t="e">
        <f>$C$149</f>
        <v>#REF!</v>
      </c>
      <c r="Q149" s="46">
        <f>SUMIF($Z$149:$Z$149,"&lt;0")</f>
        <v>0</v>
      </c>
      <c r="R149" s="46">
        <f>SUMIF($Z$149:$Z$149,"&gt;0")</f>
        <v>0</v>
      </c>
      <c r="S149" s="46" t="e">
        <f>IF($B$136,IF($I$149="nca",IF($C$149&gt;=0,0,ABS($C$149)),IF($I$149="ncb",0,IF($I$149="atb",IF($C$149&gt;=0,0,IF($D$148&lt;0,0,IF(ABS($C$149)&gt;$D$148,$D$148,ABS($C$149)))),IF($I$149="bta",0,"err")))),)</f>
        <v>#REF!</v>
      </c>
      <c r="T149" s="46" t="e">
        <f>IF($B$136,IF($I$149="nca",IF($C$149&lt;0,0,ABS($C$149)),IF($I$149="ncb",0,IF($I$149="atb",IF($C$149&lt;=0,0,$C$149),IF($I$149="bta",IF($C$149&lt;=0,0,$V$149+$C$149),"err")))),)</f>
        <v>#REF!</v>
      </c>
      <c r="U149" s="46" t="e">
        <f>IF($B$136,IF($I$149="nca",0,IF($I$149="ncb",IF($C$149&lt;=0,-ABS($C$149),0),IF($I$149="atb",IF($C$149&lt;0,$C$149+$S$149,0),IF($I$149="bta",IF($C$149&lt;=0,$C$149,0),"err")))),)</f>
        <v>#REF!</v>
      </c>
      <c r="V149" s="46" t="e">
        <f>IF($B$136,IF($I$149="nca",0,IF($I$149="ncb",IF($C$149&gt;=0,-ABS($C$149),0),IF($I$149="atb",0,IF($I$149="bta",IF($C$149&lt;=0,0,IF($D$148&gt;0,0,IF(ABS($C$149)&lt;ABS($D$148),-ABS($C$149),$D$148))),"err")))),)</f>
        <v>#REF!</v>
      </c>
      <c r="W149" s="46" t="e">
        <f>IF($C$149&gt;=0,IF($B$136,IF($C$149=0,NA(),$D$149),NA()),NA())</f>
        <v>#REF!</v>
      </c>
      <c r="X149" s="46" t="e">
        <f>IF($C$149&lt;0,IF($B$136,IF($C$149=0,NA(),$D$149),NA()),NA())</f>
        <v>#REF!</v>
      </c>
      <c r="Y149" s="46" t="e">
        <f>IF(IF($B$136,$C$140 = 0,COUNTIF(#REF!, "= 0")+ COUNTBLANK(#REF!) = 1),$Y$148,NA())</f>
        <v>#REF!</v>
      </c>
      <c r="Z149" s="46" t="e">
        <f>#REF!</f>
        <v>#REF!</v>
      </c>
      <c r="AA149" s="46">
        <v>0</v>
      </c>
      <c r="AB149" s="46">
        <v>0</v>
      </c>
      <c r="AC149" s="46">
        <f>IF($B$136,,IF($I$149="nca",IF($Z$149&gt;=0,0,ABS($Z$149)),IF($I$149="ncb",0,IF($I$149="atb",IF($Z$149&gt;=0,0,IF($D$148-$AA$149&lt;0,0,IF(ABS($Z$149)&gt;$D$148-$AA$149,$D$148-$AA$149,ABS($Z$149)))),IF($I$149="bta",0,"err")))))</f>
        <v>0</v>
      </c>
      <c r="AD149" s="46">
        <f>IF($B$136,,IF($I$149="nca",0,IF($I$149="ncb",IF($Z$149&gt;=0,-ABS($Z$149),0),IF($I$149="atb",0,IF($I$149="bta",IF($Z$149&lt;=0,0,IF($D$148+$AB$149&gt;0,0,IF(ABS($Z$149)&lt;ABS($D$148+$AB$149),-ABS($Z$149),$D$148+$AB$149))),"err")))))</f>
        <v>0</v>
      </c>
      <c r="AE149" s="46">
        <f>IF($B$136,,IF($I$149="nca",0,IF($I$149="ncb",IF($Z$149&lt;=0,-ABS($Z$149),0),IF($I$149="atb",IF($Z$149&lt;0,$Z$149+$AC$149,0),IF($I$149="bta",IF($Z$149&lt;=0,$Z$149,0),"err")))))</f>
        <v>0</v>
      </c>
      <c r="AF149" s="46">
        <f>IF($B$136,,IF($I$149="nca",IF($Z$149&lt;0,0,ABS($Z$149)),IF($I$149="ncb",0,IF($I$149="atb",IF($Z$149&lt;=0,0,$Z$149),IF($I$149="bta",IF($Z$149&lt;=0,0,$AD$149+$Z$149),"err")))))</f>
        <v>0</v>
      </c>
      <c r="AG149" s="46" t="b">
        <f>IF(SUM(COUNTIFS($AF$149,"&lt;&gt;0",$AF$149,"&lt;&gt;"),COUNTIFS($AC$149,"&lt;&gt;0",$AC$149,"&lt;&gt;"),COUNTIFS($AD$149,"&lt;&gt;0",$AD$149,"&lt;&gt;"),COUNTIFS($AE$149,"&lt;&gt;0",$AE$149,"&lt;&gt;"))=2,TRUE,FALSE)</f>
        <v>0</v>
      </c>
      <c r="AH149" s="46" t="e">
        <f>IF($B$136,NA(),IF($Z$149=0,NA(),IF($AG$149,SUM($AC$149,$AF$149,$AD$149,$AE$149)/2,IF(OR($AF$149&lt;&gt;0,$AD$149&lt;&gt;0),$D$148+$AB$149,$D$148-$AA$149)+$Z$149/2)))</f>
        <v>#N/A</v>
      </c>
    </row>
    <row r="150" spans="1:34">
      <c r="A150" s="46"/>
      <c r="B150" s="46"/>
      <c r="C150" s="46" t="e">
        <f>#REF!</f>
        <v>#REF!</v>
      </c>
      <c r="D150" s="46" t="e">
        <f>SUM($D$149,$C$150)</f>
        <v>#REF!</v>
      </c>
      <c r="E150" s="46" t="e">
        <f>$D$149&gt;=0</f>
        <v>#REF!</v>
      </c>
      <c r="F150" s="46" t="e">
        <f>IF($B$136,AND($D$149&lt;=0,SUM($D$149,$C$150)&gt; 0),AND($D$149&lt;=0,SUM($D$149,$R$150)&gt; 0))</f>
        <v>#REF!</v>
      </c>
      <c r="G150" s="46" t="e">
        <f>IF($B$136,AND($D$149&gt;=0,SUM($D$149,$C$150)&lt; 0),AND($D$149&gt;=0,SUM($D$149,$Q$150)&lt; 0))</f>
        <v>#REF!</v>
      </c>
      <c r="H150" s="46" t="e">
        <f>OR($G$150,$F$150)</f>
        <v>#REF!</v>
      </c>
      <c r="I150" s="46" t="e">
        <f>IF($H$150,IF($G$150,"atb","bta"),IF($E$150,"nca","ncb"))</f>
        <v>#REF!</v>
      </c>
      <c r="J150" s="46" t="e">
        <f>IF($H$150,0,IF($B$136,IF($E$150,IF($C$150&gt;=0,$D$149,$D$149+$C$150),IF($C$150&gt;=0,$D$149+$C$150,$D$149)),IF($E$150,SUM($D$149,$Q$150),SUM($D$149,$R$150))))</f>
        <v>#REF!</v>
      </c>
      <c r="K150" s="46"/>
      <c r="L150" s="46"/>
      <c r="M150" s="46" t="e">
        <f>IF(COUNTIF(#REF!, "= 0")+ COUNTBLANK(#REF!) = 1,NA(),IF($B$136,NA(),IF($C$150&gt;=0,SUM($D$149,$R$150),NA())))</f>
        <v>#REF!</v>
      </c>
      <c r="N150" s="46" t="e">
        <f>IF(COUNTIF(#REF!, "= 0")+ COUNTBLANK(#REF!) = 1,NA(),IF($B$136,NA(),IF($C$150&gt;=0,NA(),SUM($D$149,$Q$150))))</f>
        <v>#REF!</v>
      </c>
      <c r="O150" s="46" t="e">
        <f>$C$150</f>
        <v>#REF!</v>
      </c>
      <c r="P150" s="46" t="e">
        <f>$C$150</f>
        <v>#REF!</v>
      </c>
      <c r="Q150" s="46">
        <f>SUMIF($Z$150:$Z$150,"&lt;0")</f>
        <v>0</v>
      </c>
      <c r="R150" s="46">
        <f>SUMIF($Z$150:$Z$150,"&gt;0")</f>
        <v>0</v>
      </c>
      <c r="S150" s="46" t="e">
        <f>IF($B$136,IF($I$150="nca",IF($C$150&gt;=0,0,ABS($C$150)),IF($I$150="ncb",0,IF($I$150="atb",IF($C$150&gt;=0,0,IF($D$149&lt;0,0,IF(ABS($C$150)&gt;$D$149,$D$149,ABS($C$150)))),IF($I$150="bta",0,"err")))),)</f>
        <v>#REF!</v>
      </c>
      <c r="T150" s="46" t="e">
        <f>IF($B$136,IF($I$150="nca",IF($C$150&lt;0,0,ABS($C$150)),IF($I$150="ncb",0,IF($I$150="atb",IF($C$150&lt;=0,0,$C$150),IF($I$150="bta",IF($C$150&lt;=0,0,$V$150+$C$150),"err")))),)</f>
        <v>#REF!</v>
      </c>
      <c r="U150" s="46" t="e">
        <f>IF($B$136,IF($I$150="nca",0,IF($I$150="ncb",IF($C$150&lt;=0,-ABS($C$150),0),IF($I$150="atb",IF($C$150&lt;0,$C$150+$S$150,0),IF($I$150="bta",IF($C$150&lt;=0,$C$150,0),"err")))),)</f>
        <v>#REF!</v>
      </c>
      <c r="V150" s="46" t="e">
        <f>IF($B$136,IF($I$150="nca",0,IF($I$150="ncb",IF($C$150&gt;=0,-ABS($C$150),0),IF($I$150="atb",0,IF($I$150="bta",IF($C$150&lt;=0,0,IF($D$149&gt;0,0,IF(ABS($C$150)&lt;ABS($D$149),-ABS($C$150),$D$149))),"err")))),)</f>
        <v>#REF!</v>
      </c>
      <c r="W150" s="46" t="e">
        <f>IF($C$150&gt;=0,IF($B$136,IF($C$150=0,NA(),$D$150),NA()),NA())</f>
        <v>#REF!</v>
      </c>
      <c r="X150" s="46" t="e">
        <f>IF($C$150&lt;0,IF($B$136,IF($C$150=0,NA(),$D$150),NA()),NA())</f>
        <v>#REF!</v>
      </c>
      <c r="Y150" s="46" t="e">
        <f>$D$140</f>
        <v>#REF!</v>
      </c>
      <c r="Z150" s="46" t="e">
        <f>#REF!</f>
        <v>#REF!</v>
      </c>
      <c r="AA150" s="46">
        <v>0</v>
      </c>
      <c r="AB150" s="46">
        <v>0</v>
      </c>
      <c r="AC150" s="46">
        <f>IF($B$136,,IF($I$150="nca",IF($Z$150&gt;=0,0,ABS($Z$150)),IF($I$150="ncb",0,IF($I$150="atb",IF($Z$150&gt;=0,0,IF($D$149-$AA$150&lt;0,0,IF(ABS($Z$150)&gt;$D$149-$AA$150,$D$149-$AA$150,ABS($Z$150)))),IF($I$150="bta",0,"err")))))</f>
        <v>0</v>
      </c>
      <c r="AD150" s="46">
        <f>IF($B$136,,IF($I$150="nca",0,IF($I$150="ncb",IF($Z$150&gt;=0,-ABS($Z$150),0),IF($I$150="atb",0,IF($I$150="bta",IF($Z$150&lt;=0,0,IF($D$149+$AB$150&gt;0,0,IF(ABS($Z$150)&lt;ABS($D$149+$AB$150),-ABS($Z$150),$D$149+$AB$150))),"err")))))</f>
        <v>0</v>
      </c>
      <c r="AE150" s="46">
        <f>IF($B$136,,IF($I$150="nca",0,IF($I$150="ncb",IF($Z$150&lt;=0,-ABS($Z$150),0),IF($I$150="atb",IF($Z$150&lt;0,$Z$150+$AC$150,0),IF($I$150="bta",IF($Z$150&lt;=0,$Z$150,0),"err")))))</f>
        <v>0</v>
      </c>
      <c r="AF150" s="46">
        <f>IF($B$136,,IF($I$150="nca",IF($Z$150&lt;0,0,ABS($Z$150)),IF($I$150="ncb",0,IF($I$150="atb",IF($Z$150&lt;=0,0,$Z$150),IF($I$150="bta",IF($Z$150&lt;=0,0,$AD$150+$Z$150),"err")))))</f>
        <v>0</v>
      </c>
      <c r="AG150" s="46" t="b">
        <f>IF(SUM(COUNTIFS($AF$150,"&lt;&gt;0",$AF$150,"&lt;&gt;"),COUNTIFS($AC$150,"&lt;&gt;0",$AC$150,"&lt;&gt;"),COUNTIFS($AD$150,"&lt;&gt;0",$AD$150,"&lt;&gt;"),COUNTIFS($AE$150,"&lt;&gt;0",$AE$150,"&lt;&gt;"))=2,TRUE,FALSE)</f>
        <v>0</v>
      </c>
      <c r="AH150" s="46" t="e">
        <f>IF($B$136,NA(),IF($Z$150=0,NA(),IF($AG$150,SUM($AC$150,$AF$150,$AD$150,$AE$150)/2,IF(OR($AF$150&lt;&gt;0,$AD$150&lt;&gt;0),$D$149+$AB$150,$D$149-$AA$150)+$Z$150/2)))</f>
        <v>#N/A</v>
      </c>
    </row>
    <row r="151" spans="1:34">
      <c r="A151" s="46"/>
      <c r="B151" s="46"/>
      <c r="C151" s="46" t="e">
        <f>#REF!</f>
        <v>#REF!</v>
      </c>
      <c r="D151" s="46" t="e">
        <f>SUM($D$150,$C$151)</f>
        <v>#REF!</v>
      </c>
      <c r="E151" s="46" t="e">
        <f>$D$150&gt;=0</f>
        <v>#REF!</v>
      </c>
      <c r="F151" s="46" t="e">
        <f>IF($B$136,AND($D$150&lt;=0,SUM($D$150,$C$151)&gt; 0),AND($D$150&lt;=0,SUM($D$150,$R$151)&gt; 0))</f>
        <v>#REF!</v>
      </c>
      <c r="G151" s="46" t="e">
        <f>IF($B$136,AND($D$150&gt;=0,SUM($D$150,$C$151)&lt; 0),AND($D$150&gt;=0,SUM($D$150,$Q$151)&lt; 0))</f>
        <v>#REF!</v>
      </c>
      <c r="H151" s="46" t="e">
        <f>OR($G$151,$F$151)</f>
        <v>#REF!</v>
      </c>
      <c r="I151" s="46" t="e">
        <f>IF($H$151,IF($G$151,"atb","bta"),IF($E$151,"nca","ncb"))</f>
        <v>#REF!</v>
      </c>
      <c r="J151" s="46" t="e">
        <f>IF($H$151,0,IF($B$136,IF($E$151,IF($C$151&gt;=0,$D$150,$D$150+$C$151),IF($C$151&gt;=0,$D$150+$C$151,$D$150)),IF($E$151,SUM($D$150,$Q$151),SUM($D$150,$R$151))))</f>
        <v>#REF!</v>
      </c>
      <c r="K151" s="46"/>
      <c r="L151" s="46"/>
      <c r="M151" s="46" t="e">
        <f>IF(COUNTIF(#REF!, "= 0")+ COUNTBLANK(#REF!) = 1,NA(),IF($B$136,NA(),IF($C$151&gt;=0,SUM($D$150,$R$151),NA())))</f>
        <v>#REF!</v>
      </c>
      <c r="N151" s="46" t="e">
        <f>IF(COUNTIF(#REF!, "= 0")+ COUNTBLANK(#REF!) = 1,NA(),IF($B$136,NA(),IF($C$151&gt;=0,NA(),SUM($D$150,$Q$151))))</f>
        <v>#REF!</v>
      </c>
      <c r="O151" s="46" t="e">
        <f>$C$151</f>
        <v>#REF!</v>
      </c>
      <c r="P151" s="46" t="e">
        <f>$C$151</f>
        <v>#REF!</v>
      </c>
      <c r="Q151" s="46">
        <f>SUMIF($Z$151:$Z$151,"&lt;0")</f>
        <v>0</v>
      </c>
      <c r="R151" s="46">
        <f>SUMIF($Z$151:$Z$151,"&gt;0")</f>
        <v>0</v>
      </c>
      <c r="S151" s="46" t="e">
        <f>IF($B$136,IF($I$151="nca",IF($C$151&gt;=0,0,ABS($C$151)),IF($I$151="ncb",0,IF($I$151="atb",IF($C$151&gt;=0,0,IF($D$150&lt;0,0,IF(ABS($C$151)&gt;$D$150,$D$150,ABS($C$151)))),IF($I$151="bta",0,"err")))),)</f>
        <v>#REF!</v>
      </c>
      <c r="T151" s="46" t="e">
        <f>IF($B$136,IF($I$151="nca",IF($C$151&lt;0,0,ABS($C$151)),IF($I$151="ncb",0,IF($I$151="atb",IF($C$151&lt;=0,0,$C$151),IF($I$151="bta",IF($C$151&lt;=0,0,$V$151+$C$151),"err")))),)</f>
        <v>#REF!</v>
      </c>
      <c r="U151" s="46" t="e">
        <f>IF($B$136,IF($I$151="nca",0,IF($I$151="ncb",IF($C$151&lt;=0,-ABS($C$151),0),IF($I$151="atb",IF($C$151&lt;0,$C$151+$S$151,0),IF($I$151="bta",IF($C$151&lt;=0,$C$151,0),"err")))),)</f>
        <v>#REF!</v>
      </c>
      <c r="V151" s="46" t="e">
        <f>IF($B$136,IF($I$151="nca",0,IF($I$151="ncb",IF($C$151&gt;=0,-ABS($C$151),0),IF($I$151="atb",0,IF($I$151="bta",IF($C$151&lt;=0,0,IF($D$150&gt;0,0,IF(ABS($C$151)&lt;ABS($D$150),-ABS($C$151),$D$150))),"err")))),)</f>
        <v>#REF!</v>
      </c>
      <c r="W151" s="46" t="e">
        <f>IF($C$151&gt;=0,IF($B$136,IF($C$151=0,NA(),$D$151),NA()),NA())</f>
        <v>#REF!</v>
      </c>
      <c r="X151" s="46" t="e">
        <f>IF($C$151&lt;0,IF($B$136,IF($C$151=0,NA(),$D$151),NA()),NA())</f>
        <v>#REF!</v>
      </c>
      <c r="Y151" s="46" t="e">
        <f>$D$140</f>
        <v>#REF!</v>
      </c>
      <c r="Z151" s="46" t="e">
        <f>#REF!</f>
        <v>#REF!</v>
      </c>
      <c r="AA151" s="46">
        <v>0</v>
      </c>
      <c r="AB151" s="46">
        <v>0</v>
      </c>
      <c r="AC151" s="46">
        <f>IF($B$136,,IF($I$151="nca",IF($Z$151&gt;=0,0,ABS($Z$151)),IF($I$151="ncb",0,IF($I$151="atb",IF($Z$151&gt;=0,0,IF($D$150-$AA$151&lt;0,0,IF(ABS($Z$151)&gt;$D$150-$AA$151,$D$150-$AA$151,ABS($Z$151)))),IF($I$151="bta",0,"err")))))</f>
        <v>0</v>
      </c>
      <c r="AD151" s="46">
        <f>IF($B$136,,IF($I$151="nca",0,IF($I$151="ncb",IF($Z$151&gt;=0,-ABS($Z$151),0),IF($I$151="atb",0,IF($I$151="bta",IF($Z$151&lt;=0,0,IF($D$150+$AB$151&gt;0,0,IF(ABS($Z$151)&lt;ABS($D$150+$AB$151),-ABS($Z$151),$D$150+$AB$151))),"err")))))</f>
        <v>0</v>
      </c>
      <c r="AE151" s="46">
        <f>IF($B$136,,IF($I$151="nca",0,IF($I$151="ncb",IF($Z$151&lt;=0,-ABS($Z$151),0),IF($I$151="atb",IF($Z$151&lt;0,$Z$151+$AC$151,0),IF($I$151="bta",IF($Z$151&lt;=0,$Z$151,0),"err")))))</f>
        <v>0</v>
      </c>
      <c r="AF151" s="46">
        <f>IF($B$136,,IF($I$151="nca",IF($Z$151&lt;0,0,ABS($Z$151)),IF($I$151="ncb",0,IF($I$151="atb",IF($Z$151&lt;=0,0,$Z$151),IF($I$151="bta",IF($Z$151&lt;=0,0,$AD$151+$Z$151),"err")))))</f>
        <v>0</v>
      </c>
      <c r="AG151" s="46" t="b">
        <f>IF(SUM(COUNTIFS($AF$151,"&lt;&gt;0",$AF$151,"&lt;&gt;"),COUNTIFS($AC$151,"&lt;&gt;0",$AC$151,"&lt;&gt;"),COUNTIFS($AD$151,"&lt;&gt;0",$AD$151,"&lt;&gt;"),COUNTIFS($AE$151,"&lt;&gt;0",$AE$151,"&lt;&gt;"))=2,TRUE,FALSE)</f>
        <v>0</v>
      </c>
      <c r="AH151" s="46" t="e">
        <f>IF($B$136,NA(),IF($Z$151=0,NA(),IF($AG$151,SUM($AC$151,$AF$151,$AD$151,$AE$151)/2,IF(OR($AF$151&lt;&gt;0,$AD$151&lt;&gt;0),$D$150+$AB$151,$D$150-$AA$151)+$Z$151/2)))</f>
        <v>#N/A</v>
      </c>
    </row>
    <row r="152" spans="1:34">
      <c r="A152" s="46"/>
      <c r="B152" s="46"/>
      <c r="C152" s="46" t="e">
        <f>#REF!</f>
        <v>#REF!</v>
      </c>
      <c r="D152" s="46" t="e">
        <f>SUM($D$151,$C$152)</f>
        <v>#REF!</v>
      </c>
      <c r="E152" s="46" t="e">
        <f>$D$151&gt;=0</f>
        <v>#REF!</v>
      </c>
      <c r="F152" s="46" t="e">
        <f>IF($B$136,AND($D$151&lt;=0,SUM($D$151,$C$152)&gt; 0),AND($D$151&lt;=0,SUM($D$151,$R$152)&gt; 0))</f>
        <v>#REF!</v>
      </c>
      <c r="G152" s="46" t="e">
        <f>IF($B$136,AND($D$151&gt;=0,SUM($D$151,$C$152)&lt; 0),AND($D$151&gt;=0,SUM($D$151,$Q$152)&lt; 0))</f>
        <v>#REF!</v>
      </c>
      <c r="H152" s="46" t="e">
        <f>OR($G$152,$F$152)</f>
        <v>#REF!</v>
      </c>
      <c r="I152" s="46" t="e">
        <f>IF($H$152,IF($G$152,"atb","bta"),IF($E$152,"nca","ncb"))</f>
        <v>#REF!</v>
      </c>
      <c r="J152" s="46" t="e">
        <f>IF($H$152,0,IF($B$136,IF($E$152,IF($C$152&gt;=0,$D$151,$D$151+$C$152),IF($C$152&gt;=0,$D$151+$C$152,$D$151)),IF($E$152,SUM($D$151,$Q$152),SUM($D$151,$R$152))))</f>
        <v>#REF!</v>
      </c>
      <c r="K152" s="46"/>
      <c r="L152" s="46"/>
      <c r="M152" s="46" t="e">
        <f>IF(COUNTIF(#REF!, "= 0")+ COUNTBLANK(#REF!) = 1,NA(),IF($B$136,NA(),IF($C$152&gt;=0,SUM($D$151,$R$152),NA())))</f>
        <v>#REF!</v>
      </c>
      <c r="N152" s="46" t="e">
        <f>IF(COUNTIF(#REF!, "= 0")+ COUNTBLANK(#REF!) = 1,NA(),IF($B$136,NA(),IF($C$152&gt;=0,NA(),SUM($D$151,$Q$152))))</f>
        <v>#REF!</v>
      </c>
      <c r="O152" s="46" t="e">
        <f>$C$152</f>
        <v>#REF!</v>
      </c>
      <c r="P152" s="46" t="e">
        <f>$C$152</f>
        <v>#REF!</v>
      </c>
      <c r="Q152" s="46">
        <f>SUMIF($Z$152:$Z$152,"&lt;0")</f>
        <v>0</v>
      </c>
      <c r="R152" s="46">
        <f>SUMIF($Z$152:$Z$152,"&gt;0")</f>
        <v>0</v>
      </c>
      <c r="S152" s="46" t="e">
        <f>IF($B$136,IF($I$152="nca",IF($C$152&gt;=0,0,ABS($C$152)),IF($I$152="ncb",0,IF($I$152="atb",IF($C$152&gt;=0,0,IF($D$151&lt;0,0,IF(ABS($C$152)&gt;$D$151,$D$151,ABS($C$152)))),IF($I$152="bta",0,"err")))),)</f>
        <v>#REF!</v>
      </c>
      <c r="T152" s="46" t="e">
        <f>IF($B$136,IF($I$152="nca",IF($C$152&lt;0,0,ABS($C$152)),IF($I$152="ncb",0,IF($I$152="atb",IF($C$152&lt;=0,0,$C$152),IF($I$152="bta",IF($C$152&lt;=0,0,$V$152+$C$152),"err")))),)</f>
        <v>#REF!</v>
      </c>
      <c r="U152" s="46" t="e">
        <f>IF($B$136,IF($I$152="nca",0,IF($I$152="ncb",IF($C$152&lt;=0,-ABS($C$152),0),IF($I$152="atb",IF($C$152&lt;0,$C$152+$S$152,0),IF($I$152="bta",IF($C$152&lt;=0,$C$152,0),"err")))),)</f>
        <v>#REF!</v>
      </c>
      <c r="V152" s="46" t="e">
        <f>IF($B$136,IF($I$152="nca",0,IF($I$152="ncb",IF($C$152&gt;=0,-ABS($C$152),0),IF($I$152="atb",0,IF($I$152="bta",IF($C$152&lt;=0,0,IF($D$151&gt;0,0,IF(ABS($C$152)&lt;ABS($D$151),-ABS($C$152),$D$151))),"err")))),)</f>
        <v>#REF!</v>
      </c>
      <c r="W152" s="46" t="e">
        <f>IF($C$152&gt;=0,IF($B$136,IF($C$152=0,NA(),$D$152),NA()),NA())</f>
        <v>#REF!</v>
      </c>
      <c r="X152" s="46" t="e">
        <f>IF($C$152&lt;0,IF($B$136,IF($C$152=0,NA(),$D$152),NA()),NA())</f>
        <v>#REF!</v>
      </c>
      <c r="Y152" s="46" t="e">
        <f>IF(IF($B$136,$C$141 = 0,COUNTIF(#REF!, "= 0")+ COUNTBLANK(#REF!) = 1),$Y$151,NA())</f>
        <v>#REF!</v>
      </c>
      <c r="Z152" s="46" t="e">
        <f>#REF!</f>
        <v>#REF!</v>
      </c>
      <c r="AA152" s="46">
        <v>0</v>
      </c>
      <c r="AB152" s="46">
        <v>0</v>
      </c>
      <c r="AC152" s="46">
        <f>IF($B$136,,IF($I$152="nca",IF($Z$152&gt;=0,0,ABS($Z$152)),IF($I$152="ncb",0,IF($I$152="atb",IF($Z$152&gt;=0,0,IF($D$151-$AA$152&lt;0,0,IF(ABS($Z$152)&gt;$D$151-$AA$152,$D$151-$AA$152,ABS($Z$152)))),IF($I$152="bta",0,"err")))))</f>
        <v>0</v>
      </c>
      <c r="AD152" s="46">
        <f>IF($B$136,,IF($I$152="nca",0,IF($I$152="ncb",IF($Z$152&gt;=0,-ABS($Z$152),0),IF($I$152="atb",0,IF($I$152="bta",IF($Z$152&lt;=0,0,IF($D$151+$AB$152&gt;0,0,IF(ABS($Z$152)&lt;ABS($D$151+$AB$152),-ABS($Z$152),$D$151+$AB$152))),"err")))))</f>
        <v>0</v>
      </c>
      <c r="AE152" s="46">
        <f>IF($B$136,,IF($I$152="nca",0,IF($I$152="ncb",IF($Z$152&lt;=0,-ABS($Z$152),0),IF($I$152="atb",IF($Z$152&lt;0,$Z$152+$AC$152,0),IF($I$152="bta",IF($Z$152&lt;=0,$Z$152,0),"err")))))</f>
        <v>0</v>
      </c>
      <c r="AF152" s="46">
        <f>IF($B$136,,IF($I$152="nca",IF($Z$152&lt;0,0,ABS($Z$152)),IF($I$152="ncb",0,IF($I$152="atb",IF($Z$152&lt;=0,0,$Z$152),IF($I$152="bta",IF($Z$152&lt;=0,0,$AD$152+$Z$152),"err")))))</f>
        <v>0</v>
      </c>
      <c r="AG152" s="46" t="b">
        <f>IF(SUM(COUNTIFS($AF$152,"&lt;&gt;0",$AF$152,"&lt;&gt;"),COUNTIFS($AC$152,"&lt;&gt;0",$AC$152,"&lt;&gt;"),COUNTIFS($AD$152,"&lt;&gt;0",$AD$152,"&lt;&gt;"),COUNTIFS($AE$152,"&lt;&gt;0",$AE$152,"&lt;&gt;"))=2,TRUE,FALSE)</f>
        <v>0</v>
      </c>
      <c r="AH152" s="46" t="e">
        <f>IF($B$136,NA(),IF($Z$152=0,NA(),IF($AG$152,SUM($AC$152,$AF$152,$AD$152,$AE$152)/2,IF(OR($AF$152&lt;&gt;0,$AD$152&lt;&gt;0),$D$151+$AB$152,$D$151-$AA$152)+$Z$152/2)))</f>
        <v>#N/A</v>
      </c>
    </row>
    <row r="153" spans="1:34">
      <c r="A153" s="46"/>
      <c r="B153" s="46"/>
      <c r="C153" s="46" t="e">
        <f>#REF!</f>
        <v>#REF!</v>
      </c>
      <c r="D153" s="46" t="e">
        <f>$C$153</f>
        <v>#REF!</v>
      </c>
      <c r="E153" s="46"/>
      <c r="F153" s="46"/>
      <c r="G153" s="46"/>
      <c r="H153" s="46"/>
      <c r="I153" s="46"/>
      <c r="J153" s="46"/>
      <c r="K153" s="46" t="e">
        <f>IF(COUNTIF(#REF!, "= 0")+ COUNTBLANK(#REF!) = 1,NA(),IF($B$135,$D$153,NA()))</f>
        <v>#REF!</v>
      </c>
      <c r="L153" s="46" t="e">
        <f>$D$153</f>
        <v>#REF!</v>
      </c>
      <c r="M153" s="46" t="e">
        <f>IF(COUNTIF(#REF!, "= 0")+ COUNTBLANK(#REF!) = 1,NA(),IF($B$135,NA(),IF($C$153&gt;= 0,$R$153,NA())))</f>
        <v>#REF!</v>
      </c>
      <c r="N153" s="46" t="e">
        <f>IF(COUNTIF(#REF!, "= 0")+ COUNTBLANK(#REF!) = 1,NA(),IF($B$135,NA(),IF($C$153&lt;= 0,$Q$153,NA())))</f>
        <v>#REF!</v>
      </c>
      <c r="O153" s="46" t="e">
        <f>$C$153</f>
        <v>#REF!</v>
      </c>
      <c r="P153" s="46" t="e">
        <f>$C$153</f>
        <v>#REF!</v>
      </c>
      <c r="Q153" s="46">
        <f>SUMIF($Z$153:$Z$153,"&lt;0")</f>
        <v>0</v>
      </c>
      <c r="R153" s="46">
        <f>SUMIF($Z$153:$Z$153,"&gt;0")</f>
        <v>0</v>
      </c>
      <c r="S153" s="46"/>
      <c r="T153" s="46"/>
      <c r="U153" s="46"/>
      <c r="V153" s="46"/>
      <c r="W153" s="46"/>
      <c r="X153" s="46"/>
      <c r="Y153" s="46" t="e">
        <f>$D$141</f>
        <v>#REF!</v>
      </c>
      <c r="Z153" s="46" t="e">
        <f>#REF!</f>
        <v>#REF!</v>
      </c>
      <c r="AA153" s="46">
        <v>0</v>
      </c>
      <c r="AB153" s="46">
        <v>0</v>
      </c>
      <c r="AC153" s="46"/>
      <c r="AD153" s="46"/>
      <c r="AE153" s="46">
        <f>IF($B$135,,IF($Z$153 &lt; 0,$Z$153,))</f>
        <v>0</v>
      </c>
      <c r="AF153" s="46">
        <f>IF($B$135,,IF($Z$153 &gt; 0,$Z$153,))</f>
        <v>0</v>
      </c>
      <c r="AG153" s="46"/>
      <c r="AH153" s="46" t="e">
        <f>IF($B$135,NA(),IF($Z$153 = 0,NA(),IF($Z$153 &gt; 0,$AB$153 + $Z$153/2,-$AA$153 + $Z$153/2)))</f>
        <v>#N/A</v>
      </c>
    </row>
    <row r="154" spans="1:34">
      <c r="A154" s="46"/>
      <c r="B154" s="46"/>
      <c r="C154" s="46" t="e">
        <f>#REF!</f>
        <v>#REF!</v>
      </c>
      <c r="D154" s="46" t="e">
        <f>SUM($D$153,$C$154)</f>
        <v>#REF!</v>
      </c>
      <c r="E154" s="46" t="e">
        <f>$D$153&gt;=0</f>
        <v>#REF!</v>
      </c>
      <c r="F154" s="46" t="e">
        <f>IF($B$136,AND($D$153&lt;=0,SUM($D$153,$C$154)&gt; 0),AND($D$153&lt;=0,SUM($D$153,$R$154)&gt; 0))</f>
        <v>#REF!</v>
      </c>
      <c r="G154" s="46" t="e">
        <f>IF($B$136,AND($D$153&gt;=0,SUM($D$153,$C$154)&lt; 0),AND($D$153&gt;=0,SUM($D$153,$Q$154)&lt; 0))</f>
        <v>#REF!</v>
      </c>
      <c r="H154" s="46" t="e">
        <f>OR($G$154,$F$154)</f>
        <v>#REF!</v>
      </c>
      <c r="I154" s="46" t="e">
        <f>IF($H$154,IF($G$154,"atb","bta"),IF($E$154,"nca","ncb"))</f>
        <v>#REF!</v>
      </c>
      <c r="J154" s="46" t="e">
        <f>IF($H$154,0,IF($B$136,IF($E$154,IF($C$154&gt;=0,$D$153,$D$153+$C$154),IF($C$154&gt;=0,$D$153+$C$154,$D$153)),IF($E$154,SUM($D$153,$Q$154),SUM($D$153,$R$154))))</f>
        <v>#REF!</v>
      </c>
      <c r="K154" s="46"/>
      <c r="L154" s="46"/>
      <c r="M154" s="46" t="e">
        <f>IF(COUNTIF(#REF!, "= 0")+ COUNTBLANK(#REF!) = 1,NA(),IF($B$136,NA(),IF($C$154&gt;=0,SUM($D$153,$R$154),NA())))</f>
        <v>#REF!</v>
      </c>
      <c r="N154" s="46" t="e">
        <f>IF(COUNTIF(#REF!, "= 0")+ COUNTBLANK(#REF!) = 1,NA(),IF($B$136,NA(),IF($C$154&gt;=0,NA(),SUM($D$153,$Q$154))))</f>
        <v>#REF!</v>
      </c>
      <c r="O154" s="46" t="e">
        <f>$C$154</f>
        <v>#REF!</v>
      </c>
      <c r="P154" s="46" t="e">
        <f>$C$154</f>
        <v>#REF!</v>
      </c>
      <c r="Q154" s="46">
        <f>SUMIF($Z$154:$Z$154,"&lt;0")</f>
        <v>0</v>
      </c>
      <c r="R154" s="46">
        <f>SUMIF($Z$154:$Z$154,"&gt;0")</f>
        <v>0</v>
      </c>
      <c r="S154" s="46" t="e">
        <f>IF($B$136,IF($I$154="nca",IF($C$154&gt;=0,0,ABS($C$154)),IF($I$154="ncb",0,IF($I$154="atb",IF($C$154&gt;=0,0,IF($D$153&lt;0,0,IF(ABS($C$154)&gt;$D$153,$D$153,ABS($C$154)))),IF($I$154="bta",0,"err")))),)</f>
        <v>#REF!</v>
      </c>
      <c r="T154" s="46" t="e">
        <f>IF($B$136,IF($I$154="nca",IF($C$154&lt;0,0,ABS($C$154)),IF($I$154="ncb",0,IF($I$154="atb",IF($C$154&lt;=0,0,$C$154),IF($I$154="bta",IF($C$154&lt;=0,0,$V$154+$C$154),"err")))),)</f>
        <v>#REF!</v>
      </c>
      <c r="U154" s="46" t="e">
        <f>IF($B$136,IF($I$154="nca",0,IF($I$154="ncb",IF($C$154&lt;=0,-ABS($C$154),0),IF($I$154="atb",IF($C$154&lt;0,$C$154+$S$154,0),IF($I$154="bta",IF($C$154&lt;=0,$C$154,0),"err")))),)</f>
        <v>#REF!</v>
      </c>
      <c r="V154" s="46" t="e">
        <f>IF($B$136,IF($I$154="nca",0,IF($I$154="ncb",IF($C$154&gt;=0,-ABS($C$154),0),IF($I$154="atb",0,IF($I$154="bta",IF($C$154&lt;=0,0,IF($D$153&gt;0,0,IF(ABS($C$154)&lt;ABS($D$153),-ABS($C$154),$D$153))),"err")))),)</f>
        <v>#REF!</v>
      </c>
      <c r="W154" s="46" t="e">
        <f>IF($C$154&gt;=0,IF($B$136,IF($C$154=0,NA(),$D$154),NA()),NA())</f>
        <v>#REF!</v>
      </c>
      <c r="X154" s="46" t="e">
        <f>IF($C$154&lt;0,IF($B$136,IF($C$154=0,NA(),$D$154),NA()),NA())</f>
        <v>#REF!</v>
      </c>
      <c r="Y154" s="46" t="e">
        <f>$D$141</f>
        <v>#REF!</v>
      </c>
      <c r="Z154" s="46" t="e">
        <f>#REF!</f>
        <v>#REF!</v>
      </c>
      <c r="AA154" s="46">
        <v>0</v>
      </c>
      <c r="AB154" s="46">
        <v>0</v>
      </c>
      <c r="AC154" s="46">
        <f>IF($B$136,,IF($I$154="nca",IF($Z$154&gt;=0,0,ABS($Z$154)),IF($I$154="ncb",0,IF($I$154="atb",IF($Z$154&gt;=0,0,IF($D$153-$AA$154&lt;0,0,IF(ABS($Z$154)&gt;$D$153-$AA$154,$D$153-$AA$154,ABS($Z$154)))),IF($I$154="bta",0,"err")))))</f>
        <v>0</v>
      </c>
      <c r="AD154" s="46">
        <f>IF($B$136,,IF($I$154="nca",0,IF($I$154="ncb",IF($Z$154&gt;=0,-ABS($Z$154),0),IF($I$154="atb",0,IF($I$154="bta",IF($Z$154&lt;=0,0,IF($D$153+$AB$154&gt;0,0,IF(ABS($Z$154)&lt;ABS($D$153+$AB$154),-ABS($Z$154),$D$153+$AB$154))),"err")))))</f>
        <v>0</v>
      </c>
      <c r="AE154" s="46">
        <f>IF($B$136,,IF($I$154="nca",0,IF($I$154="ncb",IF($Z$154&lt;=0,-ABS($Z$154),0),IF($I$154="atb",IF($Z$154&lt;0,$Z$154+$AC$154,0),IF($I$154="bta",IF($Z$154&lt;=0,$Z$154,0),"err")))))</f>
        <v>0</v>
      </c>
      <c r="AF154" s="46">
        <f>IF($B$136,,IF($I$154="nca",IF($Z$154&lt;0,0,ABS($Z$154)),IF($I$154="ncb",0,IF($I$154="atb",IF($Z$154&lt;=0,0,$Z$154),IF($I$154="bta",IF($Z$154&lt;=0,0,$AD$154+$Z$154),"err")))))</f>
        <v>0</v>
      </c>
      <c r="AG154" s="46" t="b">
        <f>IF(SUM(COUNTIFS($AF$154,"&lt;&gt;0",$AF$154,"&lt;&gt;"),COUNTIFS($AC$154,"&lt;&gt;0",$AC$154,"&lt;&gt;"),COUNTIFS($AD$154,"&lt;&gt;0",$AD$154,"&lt;&gt;"),COUNTIFS($AE$154,"&lt;&gt;0",$AE$154,"&lt;&gt;"))=2,TRUE,FALSE)</f>
        <v>0</v>
      </c>
      <c r="AH154" s="46" t="e">
        <f>IF($B$136,NA(),IF($Z$154=0,NA(),IF($AG$154,SUM($AC$154,$AF$154,$AD$154,$AE$154)/2,IF(OR($AF$154&lt;&gt;0,$AD$154&lt;&gt;0),$D$153+$AB$154,$D$153-$AA$154)+$Z$154/2)))</f>
        <v>#N/A</v>
      </c>
    </row>
    <row r="155" spans="1:34">
      <c r="A155" s="46"/>
      <c r="B155" s="46"/>
      <c r="C155" s="46" t="e">
        <f>#REF!</f>
        <v>#REF!</v>
      </c>
      <c r="D155" s="46" t="e">
        <f>SUM($D$154,$C$155)</f>
        <v>#REF!</v>
      </c>
      <c r="E155" s="46" t="e">
        <f>$D$154&gt;=0</f>
        <v>#REF!</v>
      </c>
      <c r="F155" s="46" t="e">
        <f>IF($B$136,AND($D$154&lt;=0,SUM($D$154,$C$155)&gt; 0),AND($D$154&lt;=0,SUM($D$154,$R$155)&gt; 0))</f>
        <v>#REF!</v>
      </c>
      <c r="G155" s="46" t="e">
        <f>IF($B$136,AND($D$154&gt;=0,SUM($D$154,$C$155)&lt; 0),AND($D$154&gt;=0,SUM($D$154,$Q$155)&lt; 0))</f>
        <v>#REF!</v>
      </c>
      <c r="H155" s="46" t="e">
        <f>OR($G$155,$F$155)</f>
        <v>#REF!</v>
      </c>
      <c r="I155" s="46" t="e">
        <f>IF($H$155,IF($G$155,"atb","bta"),IF($E$155,"nca","ncb"))</f>
        <v>#REF!</v>
      </c>
      <c r="J155" s="46" t="e">
        <f>IF($H$155,0,IF($B$136,IF($E$155,IF($C$155&gt;=0,$D$154,$D$154+$C$155),IF($C$155&gt;=0,$D$154+$C$155,$D$154)),IF($E$155,SUM($D$154,$Q$155),SUM($D$154,$R$155))))</f>
        <v>#REF!</v>
      </c>
      <c r="K155" s="46"/>
      <c r="L155" s="46"/>
      <c r="M155" s="46" t="e">
        <f>IF(COUNTIF(#REF!, "= 0")+ COUNTBLANK(#REF!) = 1,NA(),IF($B$136,NA(),IF($C$155&gt;=0,SUM($D$154,$R$155),NA())))</f>
        <v>#REF!</v>
      </c>
      <c r="N155" s="46" t="e">
        <f>IF(COUNTIF(#REF!, "= 0")+ COUNTBLANK(#REF!) = 1,NA(),IF($B$136,NA(),IF($C$155&gt;=0,NA(),SUM($D$154,$Q$155))))</f>
        <v>#REF!</v>
      </c>
      <c r="O155" s="46" t="e">
        <f>$C$155</f>
        <v>#REF!</v>
      </c>
      <c r="P155" s="46" t="e">
        <f>$C$155</f>
        <v>#REF!</v>
      </c>
      <c r="Q155" s="46">
        <f>SUMIF($Z$155:$Z$155,"&lt;0")</f>
        <v>0</v>
      </c>
      <c r="R155" s="46">
        <f>SUMIF($Z$155:$Z$155,"&gt;0")</f>
        <v>0</v>
      </c>
      <c r="S155" s="46" t="e">
        <f>IF($B$136,IF($I$155="nca",IF($C$155&gt;=0,0,ABS($C$155)),IF($I$155="ncb",0,IF($I$155="atb",IF($C$155&gt;=0,0,IF($D$154&lt;0,0,IF(ABS($C$155)&gt;$D$154,$D$154,ABS($C$155)))),IF($I$155="bta",0,"err")))),)</f>
        <v>#REF!</v>
      </c>
      <c r="T155" s="46" t="e">
        <f>IF($B$136,IF($I$155="nca",IF($C$155&lt;0,0,ABS($C$155)),IF($I$155="ncb",0,IF($I$155="atb",IF($C$155&lt;=0,0,$C$155),IF($I$155="bta",IF($C$155&lt;=0,0,$V$155+$C$155),"err")))),)</f>
        <v>#REF!</v>
      </c>
      <c r="U155" s="46" t="e">
        <f>IF($B$136,IF($I$155="nca",0,IF($I$155="ncb",IF($C$155&lt;=0,-ABS($C$155),0),IF($I$155="atb",IF($C$155&lt;0,$C$155+$S$155,0),IF($I$155="bta",IF($C$155&lt;=0,$C$155,0),"err")))),)</f>
        <v>#REF!</v>
      </c>
      <c r="V155" s="46" t="e">
        <f>IF($B$136,IF($I$155="nca",0,IF($I$155="ncb",IF($C$155&gt;=0,-ABS($C$155),0),IF($I$155="atb",0,IF($I$155="bta",IF($C$155&lt;=0,0,IF($D$154&gt;0,0,IF(ABS($C$155)&lt;ABS($D$154),-ABS($C$155),$D$154))),"err")))),)</f>
        <v>#REF!</v>
      </c>
      <c r="W155" s="46" t="e">
        <f>IF($C$155&gt;=0,IF($B$136,IF($C$155=0,NA(),$D$155),NA()),NA())</f>
        <v>#REF!</v>
      </c>
      <c r="X155" s="46" t="e">
        <f>IF($C$155&lt;0,IF($B$136,IF($C$155=0,NA(),$D$155),NA()),NA())</f>
        <v>#REF!</v>
      </c>
      <c r="Y155" s="46" t="e">
        <f>IF(IF($B$136,$C$142 = 0,COUNTIF(#REF!, "= 0")+ COUNTBLANK(#REF!) = 1),$Y$154,NA())</f>
        <v>#REF!</v>
      </c>
      <c r="Z155" s="46" t="e">
        <f>#REF!</f>
        <v>#REF!</v>
      </c>
      <c r="AA155" s="46">
        <v>0</v>
      </c>
      <c r="AB155" s="46">
        <v>0</v>
      </c>
      <c r="AC155" s="46">
        <f>IF($B$136,,IF($I$155="nca",IF($Z$155&gt;=0,0,ABS($Z$155)),IF($I$155="ncb",0,IF($I$155="atb",IF($Z$155&gt;=0,0,IF($D$154-$AA$155&lt;0,0,IF(ABS($Z$155)&gt;$D$154-$AA$155,$D$154-$AA$155,ABS($Z$155)))),IF($I$155="bta",0,"err")))))</f>
        <v>0</v>
      </c>
      <c r="AD155" s="46">
        <f>IF($B$136,,IF($I$155="nca",0,IF($I$155="ncb",IF($Z$155&gt;=0,-ABS($Z$155),0),IF($I$155="atb",0,IF($I$155="bta",IF($Z$155&lt;=0,0,IF($D$154+$AB$155&gt;0,0,IF(ABS($Z$155)&lt;ABS($D$154+$AB$155),-ABS($Z$155),$D$154+$AB$155))),"err")))))</f>
        <v>0</v>
      </c>
      <c r="AE155" s="46">
        <f>IF($B$136,,IF($I$155="nca",0,IF($I$155="ncb",IF($Z$155&lt;=0,-ABS($Z$155),0),IF($I$155="atb",IF($Z$155&lt;0,$Z$155+$AC$155,0),IF($I$155="bta",IF($Z$155&lt;=0,$Z$155,0),"err")))))</f>
        <v>0</v>
      </c>
      <c r="AF155" s="46">
        <f>IF($B$136,,IF($I$155="nca",IF($Z$155&lt;0,0,ABS($Z$155)),IF($I$155="ncb",0,IF($I$155="atb",IF($Z$155&lt;=0,0,$Z$155),IF($I$155="bta",IF($Z$155&lt;=0,0,$AD$155+$Z$155),"err")))))</f>
        <v>0</v>
      </c>
      <c r="AG155" s="46" t="b">
        <f>IF(SUM(COUNTIFS($AF$155,"&lt;&gt;0",$AF$155,"&lt;&gt;"),COUNTIFS($AC$155,"&lt;&gt;0",$AC$155,"&lt;&gt;"),COUNTIFS($AD$155,"&lt;&gt;0",$AD$155,"&lt;&gt;"),COUNTIFS($AE$155,"&lt;&gt;0",$AE$155,"&lt;&gt;"))=2,TRUE,FALSE)</f>
        <v>0</v>
      </c>
      <c r="AH155" s="46" t="e">
        <f>IF($B$136,NA(),IF($Z$155=0,NA(),IF($AG$155,SUM($AC$155,$AF$155,$AD$155,$AE$155)/2,IF(OR($AF$155&lt;&gt;0,$AD$155&lt;&gt;0),$D$154+$AB$155,$D$154-$AA$155)+$Z$155/2)))</f>
        <v>#N/A</v>
      </c>
    </row>
    <row r="156" spans="1:34">
      <c r="A156" s="46"/>
      <c r="B156" s="46"/>
      <c r="C156" s="46" t="e">
        <f>#REF!</f>
        <v>#REF!</v>
      </c>
      <c r="D156" s="46" t="e">
        <f>SUM($D$155,$C$156)</f>
        <v>#REF!</v>
      </c>
      <c r="E156" s="46" t="e">
        <f>$D$155&gt;=0</f>
        <v>#REF!</v>
      </c>
      <c r="F156" s="46" t="e">
        <f>IF($B$136,AND($D$155&lt;=0,SUM($D$155,$C$156)&gt; 0),AND($D$155&lt;=0,SUM($D$155,$R$156)&gt; 0))</f>
        <v>#REF!</v>
      </c>
      <c r="G156" s="46" t="e">
        <f>IF($B$136,AND($D$155&gt;=0,SUM($D$155,$C$156)&lt; 0),AND($D$155&gt;=0,SUM($D$155,$Q$156)&lt; 0))</f>
        <v>#REF!</v>
      </c>
      <c r="H156" s="46" t="e">
        <f>OR($G$156,$F$156)</f>
        <v>#REF!</v>
      </c>
      <c r="I156" s="46" t="e">
        <f>IF($H$156,IF($G$156,"atb","bta"),IF($E$156,"nca","ncb"))</f>
        <v>#REF!</v>
      </c>
      <c r="J156" s="46" t="e">
        <f>IF($H$156,0,IF($B$136,IF($E$156,IF($C$156&gt;=0,$D$155,$D$155+$C$156),IF($C$156&gt;=0,$D$155+$C$156,$D$155)),IF($E$156,SUM($D$155,$Q$156),SUM($D$155,$R$156))))</f>
        <v>#REF!</v>
      </c>
      <c r="K156" s="46"/>
      <c r="L156" s="46"/>
      <c r="M156" s="46" t="e">
        <f>IF(COUNTIF(#REF!, "= 0")+ COUNTBLANK(#REF!) = 1,NA(),IF($B$136,NA(),IF($C$156&gt;=0,SUM($D$155,$R$156),NA())))</f>
        <v>#REF!</v>
      </c>
      <c r="N156" s="46" t="e">
        <f>IF(COUNTIF(#REF!, "= 0")+ COUNTBLANK(#REF!) = 1,NA(),IF($B$136,NA(),IF($C$156&gt;=0,NA(),SUM($D$155,$Q$156))))</f>
        <v>#REF!</v>
      </c>
      <c r="O156" s="46" t="e">
        <f>$C$156</f>
        <v>#REF!</v>
      </c>
      <c r="P156" s="46" t="e">
        <f>$C$156</f>
        <v>#REF!</v>
      </c>
      <c r="Q156" s="46">
        <f>SUMIF($Z$156:$Z$156,"&lt;0")</f>
        <v>0</v>
      </c>
      <c r="R156" s="46">
        <f>SUMIF($Z$156:$Z$156,"&gt;0")</f>
        <v>0</v>
      </c>
      <c r="S156" s="46" t="e">
        <f>IF($B$136,IF($I$156="nca",IF($C$156&gt;=0,0,ABS($C$156)),IF($I$156="ncb",0,IF($I$156="atb",IF($C$156&gt;=0,0,IF($D$155&lt;0,0,IF(ABS($C$156)&gt;$D$155,$D$155,ABS($C$156)))),IF($I$156="bta",0,"err")))),)</f>
        <v>#REF!</v>
      </c>
      <c r="T156" s="46" t="e">
        <f>IF($B$136,IF($I$156="nca",IF($C$156&lt;0,0,ABS($C$156)),IF($I$156="ncb",0,IF($I$156="atb",IF($C$156&lt;=0,0,$C$156),IF($I$156="bta",IF($C$156&lt;=0,0,$V$156+$C$156),"err")))),)</f>
        <v>#REF!</v>
      </c>
      <c r="U156" s="46" t="e">
        <f>IF($B$136,IF($I$156="nca",0,IF($I$156="ncb",IF($C$156&lt;=0,-ABS($C$156),0),IF($I$156="atb",IF($C$156&lt;0,$C$156+$S$156,0),IF($I$156="bta",IF($C$156&lt;=0,$C$156,0),"err")))),)</f>
        <v>#REF!</v>
      </c>
      <c r="V156" s="46" t="e">
        <f>IF($B$136,IF($I$156="nca",0,IF($I$156="ncb",IF($C$156&gt;=0,-ABS($C$156),0),IF($I$156="atb",0,IF($I$156="bta",IF($C$156&lt;=0,0,IF($D$155&gt;0,0,IF(ABS($C$156)&lt;ABS($D$155),-ABS($C$156),$D$155))),"err")))),)</f>
        <v>#REF!</v>
      </c>
      <c r="W156" s="46" t="e">
        <f>IF($C$156&gt;=0,IF($B$136,IF($C$156=0,NA(),$D$156),NA()),NA())</f>
        <v>#REF!</v>
      </c>
      <c r="X156" s="46" t="e">
        <f>IF($C$156&lt;0,IF($B$136,IF($C$156=0,NA(),$D$156),NA()),NA())</f>
        <v>#REF!</v>
      </c>
      <c r="Y156" s="46" t="e">
        <f>$D$142</f>
        <v>#REF!</v>
      </c>
      <c r="Z156" s="46" t="e">
        <f>#REF!</f>
        <v>#REF!</v>
      </c>
      <c r="AA156" s="46">
        <v>0</v>
      </c>
      <c r="AB156" s="46">
        <v>0</v>
      </c>
      <c r="AC156" s="46">
        <f>IF($B$136,,IF($I$156="nca",IF($Z$156&gt;=0,0,ABS($Z$156)),IF($I$156="ncb",0,IF($I$156="atb",IF($Z$156&gt;=0,0,IF($D$155-$AA$156&lt;0,0,IF(ABS($Z$156)&gt;$D$155-$AA$156,$D$155-$AA$156,ABS($Z$156)))),IF($I$156="bta",0,"err")))))</f>
        <v>0</v>
      </c>
      <c r="AD156" s="46">
        <f>IF($B$136,,IF($I$156="nca",0,IF($I$156="ncb",IF($Z$156&gt;=0,-ABS($Z$156),0),IF($I$156="atb",0,IF($I$156="bta",IF($Z$156&lt;=0,0,IF($D$155+$AB$156&gt;0,0,IF(ABS($Z$156)&lt;ABS($D$155+$AB$156),-ABS($Z$156),$D$155+$AB$156))),"err")))))</f>
        <v>0</v>
      </c>
      <c r="AE156" s="46">
        <f>IF($B$136,,IF($I$156="nca",0,IF($I$156="ncb",IF($Z$156&lt;=0,-ABS($Z$156),0),IF($I$156="atb",IF($Z$156&lt;0,$Z$156+$AC$156,0),IF($I$156="bta",IF($Z$156&lt;=0,$Z$156,0),"err")))))</f>
        <v>0</v>
      </c>
      <c r="AF156" s="46">
        <f>IF($B$136,,IF($I$156="nca",IF($Z$156&lt;0,0,ABS($Z$156)),IF($I$156="ncb",0,IF($I$156="atb",IF($Z$156&lt;=0,0,$Z$156),IF($I$156="bta",IF($Z$156&lt;=0,0,$AD$156+$Z$156),"err")))))</f>
        <v>0</v>
      </c>
      <c r="AG156" s="46" t="b">
        <f>IF(SUM(COUNTIFS($AF$156,"&lt;&gt;0",$AF$156,"&lt;&gt;"),COUNTIFS($AC$156,"&lt;&gt;0",$AC$156,"&lt;&gt;"),COUNTIFS($AD$156,"&lt;&gt;0",$AD$156,"&lt;&gt;"),COUNTIFS($AE$156,"&lt;&gt;0",$AE$156,"&lt;&gt;"))=2,TRUE,FALSE)</f>
        <v>0</v>
      </c>
      <c r="AH156" s="46" t="e">
        <f>IF($B$136,NA(),IF($Z$156=0,NA(),IF($AG$156,SUM($AC$156,$AF$156,$AD$156,$AE$156)/2,IF(OR($AF$156&lt;&gt;0,$AD$156&lt;&gt;0),$D$155+$AB$156,$D$155-$AA$156)+$Z$156/2)))</f>
        <v>#N/A</v>
      </c>
    </row>
    <row r="157" spans="1:34">
      <c r="A157" s="46"/>
      <c r="B157" s="46"/>
      <c r="C157" s="46" t="e">
        <f>#REF!</f>
        <v>#REF!</v>
      </c>
      <c r="D157" s="46" t="e">
        <f>SUM($D$156,$C$157)</f>
        <v>#REF!</v>
      </c>
      <c r="E157" s="46" t="e">
        <f>$D$156&gt;=0</f>
        <v>#REF!</v>
      </c>
      <c r="F157" s="46" t="e">
        <f>IF($B$136,AND($D$156&lt;=0,SUM($D$156,$C$157)&gt; 0),AND($D$156&lt;=0,SUM($D$156,$R$157)&gt; 0))</f>
        <v>#REF!</v>
      </c>
      <c r="G157" s="46" t="e">
        <f>IF($B$136,AND($D$156&gt;=0,SUM($D$156,$C$157)&lt; 0),AND($D$156&gt;=0,SUM($D$156,$Q$157)&lt; 0))</f>
        <v>#REF!</v>
      </c>
      <c r="H157" s="46" t="e">
        <f>OR($G$157,$F$157)</f>
        <v>#REF!</v>
      </c>
      <c r="I157" s="46" t="e">
        <f>IF($H$157,IF($G$157,"atb","bta"),IF($E$157,"nca","ncb"))</f>
        <v>#REF!</v>
      </c>
      <c r="J157" s="46" t="e">
        <f>IF($H$157,0,IF($B$136,IF($E$157,IF($C$157&gt;=0,$D$156,$D$156+$C$157),IF($C$157&gt;=0,$D$156+$C$157,$D$156)),IF($E$157,SUM($D$156,$Q$157),SUM($D$156,$R$157))))</f>
        <v>#REF!</v>
      </c>
      <c r="K157" s="46"/>
      <c r="L157" s="46"/>
      <c r="M157" s="46" t="e">
        <f>IF(COUNTIF(#REF!, "= 0")+ COUNTBLANK(#REF!) = 1,NA(),IF($B$136,NA(),IF($C$157&gt;=0,SUM($D$156,$R$157),NA())))</f>
        <v>#REF!</v>
      </c>
      <c r="N157" s="46" t="e">
        <f>IF(COUNTIF(#REF!, "= 0")+ COUNTBLANK(#REF!) = 1,NA(),IF($B$136,NA(),IF($C$157&gt;=0,NA(),SUM($D$156,$Q$157))))</f>
        <v>#REF!</v>
      </c>
      <c r="O157" s="46" t="e">
        <f>$C$157</f>
        <v>#REF!</v>
      </c>
      <c r="P157" s="46" t="e">
        <f>$C$157</f>
        <v>#REF!</v>
      </c>
      <c r="Q157" s="46">
        <f>SUMIF($Z$157:$Z$157,"&lt;0")</f>
        <v>0</v>
      </c>
      <c r="R157" s="46">
        <f>SUMIF($Z$157:$Z$157,"&gt;0")</f>
        <v>0</v>
      </c>
      <c r="S157" s="46" t="e">
        <f>IF($B$136,IF($I$157="nca",IF($C$157&gt;=0,0,ABS($C$157)),IF($I$157="ncb",0,IF($I$157="atb",IF($C$157&gt;=0,0,IF($D$156&lt;0,0,IF(ABS($C$157)&gt;$D$156,$D$156,ABS($C$157)))),IF($I$157="bta",0,"err")))),)</f>
        <v>#REF!</v>
      </c>
      <c r="T157" s="46" t="e">
        <f>IF($B$136,IF($I$157="nca",IF($C$157&lt;0,0,ABS($C$157)),IF($I$157="ncb",0,IF($I$157="atb",IF($C$157&lt;=0,0,$C$157),IF($I$157="bta",IF($C$157&lt;=0,0,$V$157+$C$157),"err")))),)</f>
        <v>#REF!</v>
      </c>
      <c r="U157" s="46" t="e">
        <f>IF($B$136,IF($I$157="nca",0,IF($I$157="ncb",IF($C$157&lt;=0,-ABS($C$157),0),IF($I$157="atb",IF($C$157&lt;0,$C$157+$S$157,0),IF($I$157="bta",IF($C$157&lt;=0,$C$157,0),"err")))),)</f>
        <v>#REF!</v>
      </c>
      <c r="V157" s="46" t="e">
        <f>IF($B$136,IF($I$157="nca",0,IF($I$157="ncb",IF($C$157&gt;=0,-ABS($C$157),0),IF($I$157="atb",0,IF($I$157="bta",IF($C$157&lt;=0,0,IF($D$156&gt;0,0,IF(ABS($C$157)&lt;ABS($D$156),-ABS($C$157),$D$156))),"err")))),)</f>
        <v>#REF!</v>
      </c>
      <c r="W157" s="46" t="e">
        <f>IF($C$157&gt;=0,IF($B$136,IF($C$157=0,NA(),$D$157),NA()),NA())</f>
        <v>#REF!</v>
      </c>
      <c r="X157" s="46" t="e">
        <f>IF($C$157&lt;0,IF($B$136,IF($C$157=0,NA(),$D$157),NA()),NA())</f>
        <v>#REF!</v>
      </c>
      <c r="Y157" s="46" t="e">
        <f>$D$142</f>
        <v>#REF!</v>
      </c>
      <c r="Z157" s="46" t="e">
        <f>#REF!</f>
        <v>#REF!</v>
      </c>
      <c r="AA157" s="46">
        <v>0</v>
      </c>
      <c r="AB157" s="46">
        <v>0</v>
      </c>
      <c r="AC157" s="46">
        <f>IF($B$136,,IF($I$157="nca",IF($Z$157&gt;=0,0,ABS($Z$157)),IF($I$157="ncb",0,IF($I$157="atb",IF($Z$157&gt;=0,0,IF($D$156-$AA$157&lt;0,0,IF(ABS($Z$157)&gt;$D$156-$AA$157,$D$156-$AA$157,ABS($Z$157)))),IF($I$157="bta",0,"err")))))</f>
        <v>0</v>
      </c>
      <c r="AD157" s="46">
        <f>IF($B$136,,IF($I$157="nca",0,IF($I$157="ncb",IF($Z$157&gt;=0,-ABS($Z$157),0),IF($I$157="atb",0,IF($I$157="bta",IF($Z$157&lt;=0,0,IF($D$156+$AB$157&gt;0,0,IF(ABS($Z$157)&lt;ABS($D$156+$AB$157),-ABS($Z$157),$D$156+$AB$157))),"err")))))</f>
        <v>0</v>
      </c>
      <c r="AE157" s="46">
        <f>IF($B$136,,IF($I$157="nca",0,IF($I$157="ncb",IF($Z$157&lt;=0,-ABS($Z$157),0),IF($I$157="atb",IF($Z$157&lt;0,$Z$157+$AC$157,0),IF($I$157="bta",IF($Z$157&lt;=0,$Z$157,0),"err")))))</f>
        <v>0</v>
      </c>
      <c r="AF157" s="46">
        <f>IF($B$136,,IF($I$157="nca",IF($Z$157&lt;0,0,ABS($Z$157)),IF($I$157="ncb",0,IF($I$157="atb",IF($Z$157&lt;=0,0,$Z$157),IF($I$157="bta",IF($Z$157&lt;=0,0,$AD$157+$Z$157),"err")))))</f>
        <v>0</v>
      </c>
      <c r="AG157" s="46" t="b">
        <f>IF(SUM(COUNTIFS($AF$157,"&lt;&gt;0",$AF$157,"&lt;&gt;"),COUNTIFS($AC$157,"&lt;&gt;0",$AC$157,"&lt;&gt;"),COUNTIFS($AD$157,"&lt;&gt;0",$AD$157,"&lt;&gt;"),COUNTIFS($AE$157,"&lt;&gt;0",$AE$157,"&lt;&gt;"))=2,TRUE,FALSE)</f>
        <v>0</v>
      </c>
      <c r="AH157" s="46" t="e">
        <f>IF($B$136,NA(),IF($Z$157=0,NA(),IF($AG$157,SUM($AC$157,$AF$157,$AD$157,$AE$157)/2,IF(OR($AF$157&lt;&gt;0,$AD$157&lt;&gt;0),$D$156+$AB$157,$D$156-$AA$157)+$Z$157/2)))</f>
        <v>#N/A</v>
      </c>
    </row>
    <row r="158" spans="1:34">
      <c r="A158" s="46"/>
      <c r="B158" s="46"/>
      <c r="C158" s="46" t="e">
        <f>#REF!</f>
        <v>#REF!</v>
      </c>
      <c r="D158" s="46" t="e">
        <f>SUM($D$157,$C$158)</f>
        <v>#REF!</v>
      </c>
      <c r="E158" s="46" t="e">
        <f>$D$157&gt;=0</f>
        <v>#REF!</v>
      </c>
      <c r="F158" s="46" t="e">
        <f>IF($B$136,AND($D$157&lt;=0,SUM($D$157,$C$158)&gt; 0),AND($D$157&lt;=0,SUM($D$157,$R$158)&gt; 0))</f>
        <v>#REF!</v>
      </c>
      <c r="G158" s="46" t="e">
        <f>IF($B$136,AND($D$157&gt;=0,SUM($D$157,$C$158)&lt; 0),AND($D$157&gt;=0,SUM($D$157,$Q$158)&lt; 0))</f>
        <v>#REF!</v>
      </c>
      <c r="H158" s="46" t="e">
        <f>OR($G$158,$F$158)</f>
        <v>#REF!</v>
      </c>
      <c r="I158" s="46" t="e">
        <f>IF($H$158,IF($G$158,"atb","bta"),IF($E$158,"nca","ncb"))</f>
        <v>#REF!</v>
      </c>
      <c r="J158" s="46" t="e">
        <f>IF($H$158,0,IF($B$136,IF($E$158,IF($C$158&gt;=0,$D$157,$D$157+$C$158),IF($C$158&gt;=0,$D$157+$C$158,$D$157)),IF($E$158,SUM($D$157,$Q$158),SUM($D$157,$R$158))))</f>
        <v>#REF!</v>
      </c>
      <c r="K158" s="46"/>
      <c r="L158" s="46"/>
      <c r="M158" s="46" t="e">
        <f>IF(COUNTIF(#REF!, "= 0")+ COUNTBLANK(#REF!) = 1,NA(),IF($B$136,NA(),IF($C$158&gt;=0,SUM($D$157,$R$158),NA())))</f>
        <v>#REF!</v>
      </c>
      <c r="N158" s="46" t="e">
        <f>IF(COUNTIF(#REF!, "= 0")+ COUNTBLANK(#REF!) = 1,NA(),IF($B$136,NA(),IF($C$158&gt;=0,NA(),SUM($D$157,$Q$158))))</f>
        <v>#REF!</v>
      </c>
      <c r="O158" s="46" t="e">
        <f>$C$158</f>
        <v>#REF!</v>
      </c>
      <c r="P158" s="46" t="e">
        <f>$C$158</f>
        <v>#REF!</v>
      </c>
      <c r="Q158" s="46">
        <f>SUMIF($Z$158:$Z$158,"&lt;0")</f>
        <v>0</v>
      </c>
      <c r="R158" s="46">
        <f>SUMIF($Z$158:$Z$158,"&gt;0")</f>
        <v>0</v>
      </c>
      <c r="S158" s="46" t="e">
        <f>IF($B$136,IF($I$158="nca",IF($C$158&gt;=0,0,ABS($C$158)),IF($I$158="ncb",0,IF($I$158="atb",IF($C$158&gt;=0,0,IF($D$157&lt;0,0,IF(ABS($C$158)&gt;$D$157,$D$157,ABS($C$158)))),IF($I$158="bta",0,"err")))),)</f>
        <v>#REF!</v>
      </c>
      <c r="T158" s="46" t="e">
        <f>IF($B$136,IF($I$158="nca",IF($C$158&lt;0,0,ABS($C$158)),IF($I$158="ncb",0,IF($I$158="atb",IF($C$158&lt;=0,0,$C$158),IF($I$158="bta",IF($C$158&lt;=0,0,$V$158+$C$158),"err")))),)</f>
        <v>#REF!</v>
      </c>
      <c r="U158" s="46" t="e">
        <f>IF($B$136,IF($I$158="nca",0,IF($I$158="ncb",IF($C$158&lt;=0,-ABS($C$158),0),IF($I$158="atb",IF($C$158&lt;0,$C$158+$S$158,0),IF($I$158="bta",IF($C$158&lt;=0,$C$158,0),"err")))),)</f>
        <v>#REF!</v>
      </c>
      <c r="V158" s="46" t="e">
        <f>IF($B$136,IF($I$158="nca",0,IF($I$158="ncb",IF($C$158&gt;=0,-ABS($C$158),0),IF($I$158="atb",0,IF($I$158="bta",IF($C$158&lt;=0,0,IF($D$157&gt;0,0,IF(ABS($C$158)&lt;ABS($D$157),-ABS($C$158),$D$157))),"err")))),)</f>
        <v>#REF!</v>
      </c>
      <c r="W158" s="46" t="e">
        <f>IF($C$158&gt;=0,IF($B$136,IF($C$158=0,NA(),$D$158),NA()),NA())</f>
        <v>#REF!</v>
      </c>
      <c r="X158" s="46" t="e">
        <f>IF($C$158&lt;0,IF($B$136,IF($C$158=0,NA(),$D$158),NA()),NA())</f>
        <v>#REF!</v>
      </c>
      <c r="Y158" s="46" t="e">
        <f>IF(IF($B$136,$C$143 = 0,COUNTIF(#REF!, "= 0")+ COUNTBLANK(#REF!) = 1),$Y$157,NA())</f>
        <v>#REF!</v>
      </c>
      <c r="Z158" s="46" t="e">
        <f>#REF!</f>
        <v>#REF!</v>
      </c>
      <c r="AA158" s="46">
        <v>0</v>
      </c>
      <c r="AB158" s="46">
        <v>0</v>
      </c>
      <c r="AC158" s="46">
        <f>IF($B$136,,IF($I$158="nca",IF($Z$158&gt;=0,0,ABS($Z$158)),IF($I$158="ncb",0,IF($I$158="atb",IF($Z$158&gt;=0,0,IF($D$157-$AA$158&lt;0,0,IF(ABS($Z$158)&gt;$D$157-$AA$158,$D$157-$AA$158,ABS($Z$158)))),IF($I$158="bta",0,"err")))))</f>
        <v>0</v>
      </c>
      <c r="AD158" s="46">
        <f>IF($B$136,,IF($I$158="nca",0,IF($I$158="ncb",IF($Z$158&gt;=0,-ABS($Z$158),0),IF($I$158="atb",0,IF($I$158="bta",IF($Z$158&lt;=0,0,IF($D$157+$AB$158&gt;0,0,IF(ABS($Z$158)&lt;ABS($D$157+$AB$158),-ABS($Z$158),$D$157+$AB$158))),"err")))))</f>
        <v>0</v>
      </c>
      <c r="AE158" s="46">
        <f>IF($B$136,,IF($I$158="nca",0,IF($I$158="ncb",IF($Z$158&lt;=0,-ABS($Z$158),0),IF($I$158="atb",IF($Z$158&lt;0,$Z$158+$AC$158,0),IF($I$158="bta",IF($Z$158&lt;=0,$Z$158,0),"err")))))</f>
        <v>0</v>
      </c>
      <c r="AF158" s="46">
        <f>IF($B$136,,IF($I$158="nca",IF($Z$158&lt;0,0,ABS($Z$158)),IF($I$158="ncb",0,IF($I$158="atb",IF($Z$158&lt;=0,0,$Z$158),IF($I$158="bta",IF($Z$158&lt;=0,0,$AD$158+$Z$158),"err")))))</f>
        <v>0</v>
      </c>
      <c r="AG158" s="46" t="b">
        <f>IF(SUM(COUNTIFS($AF$158,"&lt;&gt;0",$AF$158,"&lt;&gt;"),COUNTIFS($AC$158,"&lt;&gt;0",$AC$158,"&lt;&gt;"),COUNTIFS($AD$158,"&lt;&gt;0",$AD$158,"&lt;&gt;"),COUNTIFS($AE$158,"&lt;&gt;0",$AE$158,"&lt;&gt;"))=2,TRUE,FALSE)</f>
        <v>0</v>
      </c>
      <c r="AH158" s="46" t="e">
        <f>IF($B$136,NA(),IF($Z$158=0,NA(),IF($AG$158,SUM($AC$158,$AF$158,$AD$158,$AE$158)/2,IF(OR($AF$158&lt;&gt;0,$AD$158&lt;&gt;0),$D$157+$AB$158,$D$157-$AA$158)+$Z$158/2)))</f>
        <v>#N/A</v>
      </c>
    </row>
    <row r="159" spans="1:34">
      <c r="A159" s="46"/>
      <c r="B159" s="46"/>
      <c r="C159" s="46" t="e">
        <f>#REF!</f>
        <v>#REF!</v>
      </c>
      <c r="D159" s="46" t="e">
        <f>$C$159</f>
        <v>#REF!</v>
      </c>
      <c r="E159" s="46"/>
      <c r="F159" s="46"/>
      <c r="G159" s="46"/>
      <c r="H159" s="46"/>
      <c r="I159" s="46"/>
      <c r="J159" s="46"/>
      <c r="K159" s="46" t="e">
        <f>IF(COUNTIF(#REF!, "= 0")+ COUNTBLANK(#REF!) = 1,NA(),IF($B$135,$D$159,NA()))</f>
        <v>#REF!</v>
      </c>
      <c r="L159" s="46" t="e">
        <f>$D$159</f>
        <v>#REF!</v>
      </c>
      <c r="M159" s="46" t="e">
        <f>IF(COUNTIF(#REF!, "= 0")+ COUNTBLANK(#REF!) = 1,NA(),IF($B$135,NA(),IF($C$159&gt;= 0,$R$159,NA())))</f>
        <v>#REF!</v>
      </c>
      <c r="N159" s="46" t="e">
        <f>IF(COUNTIF(#REF!, "= 0")+ COUNTBLANK(#REF!) = 1,NA(),IF($B$135,NA(),IF($C$159&lt;= 0,$Q$159,NA())))</f>
        <v>#REF!</v>
      </c>
      <c r="O159" s="46" t="e">
        <f>$C$159</f>
        <v>#REF!</v>
      </c>
      <c r="P159" s="46" t="e">
        <f>$C$159</f>
        <v>#REF!</v>
      </c>
      <c r="Q159" s="46">
        <f>SUMIF($Z$159:$Z$159,"&lt;0")</f>
        <v>0</v>
      </c>
      <c r="R159" s="46">
        <f>SUMIF($Z$159:$Z$159,"&gt;0")</f>
        <v>0</v>
      </c>
      <c r="S159" s="46"/>
      <c r="T159" s="46"/>
      <c r="U159" s="46"/>
      <c r="V159" s="46"/>
      <c r="W159" s="46"/>
      <c r="X159" s="46"/>
      <c r="Y159" s="46" t="e">
        <f>$D$143</f>
        <v>#REF!</v>
      </c>
      <c r="Z159" s="46" t="e">
        <f>#REF!</f>
        <v>#REF!</v>
      </c>
      <c r="AA159" s="46">
        <v>0</v>
      </c>
      <c r="AB159" s="46">
        <v>0</v>
      </c>
      <c r="AC159" s="46"/>
      <c r="AD159" s="46"/>
      <c r="AE159" s="46">
        <f>IF($B$135,,IF($Z$159 &lt; 0,$Z$159,))</f>
        <v>0</v>
      </c>
      <c r="AF159" s="46">
        <f>IF($B$135,,IF($Z$159 &gt; 0,$Z$159,))</f>
        <v>0</v>
      </c>
      <c r="AG159" s="46"/>
      <c r="AH159" s="46" t="e">
        <f>IF($B$135,NA(),IF($Z$159 = 0,NA(),IF($Z$159 &gt; 0,$AB$159 + $Z$159/2,-$AA$159 + $Z$159/2)))</f>
        <v>#N/A</v>
      </c>
    </row>
    <row r="160" spans="1:34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 t="e">
        <f>$D$143</f>
        <v>#REF!</v>
      </c>
      <c r="Z160" s="46"/>
      <c r="AA160" s="46"/>
      <c r="AB160" s="46"/>
      <c r="AC160" s="46"/>
      <c r="AD160" s="46"/>
      <c r="AE160" s="46"/>
      <c r="AF160" s="46"/>
      <c r="AG160" s="46"/>
      <c r="AH160" s="46"/>
    </row>
    <row r="161" spans="1:34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 t="e">
        <f>IF(IF($B$136,$C$144 = 0,COUNTIF(#REF!, "= 0")+ COUNTBLANK(#REF!) = 1),$Y$160,NA())</f>
        <v>#REF!</v>
      </c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 t="e">
        <f>$D$144</f>
        <v>#REF!</v>
      </c>
      <c r="Z162" s="46"/>
      <c r="AA162" s="46"/>
      <c r="AB162" s="46"/>
      <c r="AC162" s="46"/>
      <c r="AD162" s="46"/>
      <c r="AE162" s="46"/>
      <c r="AF162" s="46"/>
      <c r="AG162" s="46"/>
      <c r="AH162" s="46"/>
    </row>
    <row r="163" spans="1:34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 t="e">
        <f>$D$144</f>
        <v>#REF!</v>
      </c>
      <c r="Z163" s="46"/>
      <c r="AA163" s="46"/>
      <c r="AB163" s="46"/>
      <c r="AC163" s="46"/>
      <c r="AD163" s="46"/>
      <c r="AE163" s="46"/>
      <c r="AF163" s="46"/>
      <c r="AG163" s="46"/>
      <c r="AH163" s="46"/>
    </row>
    <row r="164" spans="1:3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 t="e">
        <f>IF(IF($B$136,$C$145 = 0,COUNTIF(#REF!, "= 0")+ COUNTBLANK(#REF!) = 1),$Y$163,NA())</f>
        <v>#REF!</v>
      </c>
      <c r="Z164" s="46"/>
      <c r="AA164" s="46"/>
      <c r="AB164" s="46"/>
      <c r="AC164" s="46"/>
      <c r="AD164" s="46"/>
      <c r="AE164" s="46"/>
      <c r="AF164" s="46"/>
      <c r="AG164" s="46"/>
      <c r="AH164" s="46"/>
    </row>
    <row r="165" spans="1:34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 t="e">
        <f>$D$145</f>
        <v>#REF!</v>
      </c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 t="e">
        <f>$D$145</f>
        <v>#REF!</v>
      </c>
      <c r="Z166" s="46"/>
      <c r="AA166" s="46"/>
      <c r="AB166" s="46"/>
      <c r="AC166" s="46"/>
      <c r="AD166" s="46"/>
      <c r="AE166" s="46"/>
      <c r="AF166" s="46"/>
      <c r="AG166" s="46"/>
      <c r="AH166" s="46"/>
    </row>
    <row r="167" spans="1:34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 t="e">
        <f>IF(IF($B$136,$C$146 = 0,COUNTIF(#REF!, "= 0")+ COUNTBLANK(#REF!) = 1),$Y$166,NA())</f>
        <v>#REF!</v>
      </c>
      <c r="Z167" s="46"/>
      <c r="AA167" s="46"/>
      <c r="AB167" s="46"/>
      <c r="AC167" s="46"/>
      <c r="AD167" s="46"/>
      <c r="AE167" s="46"/>
      <c r="AF167" s="46"/>
      <c r="AG167" s="46"/>
      <c r="AH167" s="46"/>
    </row>
    <row r="168" spans="1:34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 t="e">
        <f>$D$146</f>
        <v>#REF!</v>
      </c>
      <c r="Z168" s="46"/>
      <c r="AA168" s="46"/>
      <c r="AB168" s="46"/>
      <c r="AC168" s="46"/>
      <c r="AD168" s="46"/>
      <c r="AE168" s="46"/>
      <c r="AF168" s="46"/>
      <c r="AG168" s="46"/>
      <c r="AH168" s="46"/>
    </row>
    <row r="169" spans="1:34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 t="e">
        <f>$D$146</f>
        <v>#REF!</v>
      </c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 t="e">
        <f>IF(IF($B$136,$C$147 = 0,COUNTIF(#REF!, "= 0")+ COUNTBLANK(#REF!) = 1),$Y$169,NA())</f>
        <v>#REF!</v>
      </c>
      <c r="Z170" s="46"/>
      <c r="AA170" s="46"/>
      <c r="AB170" s="46"/>
      <c r="AC170" s="46"/>
      <c r="AD170" s="46"/>
      <c r="AE170" s="46"/>
      <c r="AF170" s="46"/>
      <c r="AG170" s="46"/>
      <c r="AH170" s="46"/>
    </row>
    <row r="171" spans="1:34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 t="e">
        <f>$D$147</f>
        <v>#REF!</v>
      </c>
      <c r="Z171" s="46"/>
      <c r="AA171" s="46"/>
      <c r="AB171" s="46"/>
      <c r="AC171" s="46"/>
      <c r="AD171" s="46"/>
      <c r="AE171" s="46"/>
      <c r="AF171" s="46"/>
      <c r="AG171" s="46"/>
      <c r="AH171" s="46"/>
    </row>
    <row r="172" spans="1:34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 t="e">
        <f>$D$147</f>
        <v>#REF!</v>
      </c>
      <c r="Z172" s="46"/>
      <c r="AA172" s="46"/>
      <c r="AB172" s="46"/>
      <c r="AC172" s="46"/>
      <c r="AD172" s="46"/>
      <c r="AE172" s="46"/>
      <c r="AF172" s="46"/>
      <c r="AG172" s="46"/>
      <c r="AH172" s="46"/>
    </row>
    <row r="173" spans="1:34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 t="e">
        <f>IF(IF($B$136,$C$148 = 0,COUNTIF(#REF!, "= 0")+ COUNTBLANK(#REF!) = 1),$Y$172,NA())</f>
        <v>#REF!</v>
      </c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 t="e">
        <f>$D$148</f>
        <v>#REF!</v>
      </c>
      <c r="Z174" s="46"/>
      <c r="AA174" s="46"/>
      <c r="AB174" s="46"/>
      <c r="AC174" s="46"/>
      <c r="AD174" s="46"/>
      <c r="AE174" s="46"/>
      <c r="AF174" s="46"/>
      <c r="AG174" s="46"/>
      <c r="AH174" s="46"/>
    </row>
    <row r="175" spans="1:34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 t="e">
        <f>$D$148</f>
        <v>#REF!</v>
      </c>
      <c r="Z175" s="46"/>
      <c r="AA175" s="46"/>
      <c r="AB175" s="46"/>
      <c r="AC175" s="46"/>
      <c r="AD175" s="46"/>
      <c r="AE175" s="46"/>
      <c r="AF175" s="46"/>
      <c r="AG175" s="46"/>
      <c r="AH175" s="46"/>
    </row>
    <row r="176" spans="1:34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 t="e">
        <f>IF(IF($B$136,$C$149 = 0,COUNTIF(#REF!, "= 0")+ COUNTBLANK(#REF!) = 1),$Y$175,NA())</f>
        <v>#REF!</v>
      </c>
      <c r="Z176" s="46"/>
      <c r="AA176" s="46"/>
      <c r="AB176" s="46"/>
      <c r="AC176" s="46"/>
      <c r="AD176" s="46"/>
      <c r="AE176" s="46"/>
      <c r="AF176" s="46"/>
      <c r="AG176" s="46"/>
      <c r="AH176" s="46"/>
    </row>
    <row r="177" spans="1:34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 t="e">
        <f>$D$149</f>
        <v>#REF!</v>
      </c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 t="e">
        <f>$D$149</f>
        <v>#REF!</v>
      </c>
      <c r="Z178" s="46"/>
      <c r="AA178" s="46"/>
      <c r="AB178" s="46"/>
      <c r="AC178" s="46"/>
      <c r="AD178" s="46"/>
      <c r="AE178" s="46"/>
      <c r="AF178" s="46"/>
      <c r="AG178" s="46"/>
      <c r="AH178" s="46"/>
    </row>
    <row r="179" spans="1:34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 t="e">
        <f>IF(IF($B$136,$C$150 = 0,COUNTIF(#REF!, "= 0")+ COUNTBLANK(#REF!) = 1),$Y$178,NA())</f>
        <v>#REF!</v>
      </c>
      <c r="Z179" s="46"/>
      <c r="AA179" s="46"/>
      <c r="AB179" s="46"/>
      <c r="AC179" s="46"/>
      <c r="AD179" s="46"/>
      <c r="AE179" s="46"/>
      <c r="AF179" s="46"/>
      <c r="AG179" s="46"/>
      <c r="AH179" s="46"/>
    </row>
    <row r="180" spans="1:34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 t="e">
        <f>$D$150</f>
        <v>#REF!</v>
      </c>
      <c r="Z180" s="46"/>
      <c r="AA180" s="46"/>
      <c r="AB180" s="46"/>
      <c r="AC180" s="46"/>
      <c r="AD180" s="46"/>
      <c r="AE180" s="46"/>
      <c r="AF180" s="46"/>
      <c r="AG180" s="46"/>
      <c r="AH180" s="46"/>
    </row>
    <row r="181" spans="1:34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 t="e">
        <f>$D$150</f>
        <v>#REF!</v>
      </c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 t="e">
        <f>IF(IF($B$136,$C$151 = 0,COUNTIF(#REF!, "= 0")+ COUNTBLANK(#REF!) = 1),$Y$181,NA())</f>
        <v>#REF!</v>
      </c>
      <c r="Z182" s="46"/>
      <c r="AA182" s="46"/>
      <c r="AB182" s="46"/>
      <c r="AC182" s="46"/>
      <c r="AD182" s="46"/>
      <c r="AE182" s="46"/>
      <c r="AF182" s="46"/>
      <c r="AG182" s="46"/>
      <c r="AH182" s="46"/>
    </row>
    <row r="183" spans="1:34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 t="e">
        <f>$D$151</f>
        <v>#REF!</v>
      </c>
      <c r="Z183" s="46"/>
      <c r="AA183" s="46"/>
      <c r="AB183" s="46"/>
      <c r="AC183" s="46"/>
      <c r="AD183" s="46"/>
      <c r="AE183" s="46"/>
      <c r="AF183" s="46"/>
      <c r="AG183" s="46"/>
      <c r="AH183" s="46"/>
    </row>
    <row r="184" spans="1:3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 t="e">
        <f>$D$151</f>
        <v>#REF!</v>
      </c>
      <c r="Z184" s="46"/>
      <c r="AA184" s="46"/>
      <c r="AB184" s="46"/>
      <c r="AC184" s="46"/>
      <c r="AD184" s="46"/>
      <c r="AE184" s="46"/>
      <c r="AF184" s="46"/>
      <c r="AG184" s="46"/>
      <c r="AH184" s="46"/>
    </row>
    <row r="185" spans="1:34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 t="e">
        <f>IF(IF($B$136,$C$152 = 0,COUNTIF(#REF!, "= 0")+ COUNTBLANK(#REF!) = 1),$Y$184,NA())</f>
        <v>#REF!</v>
      </c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 t="e">
        <f>$D$152</f>
        <v>#REF!</v>
      </c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34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 t="e">
        <f>$D$152</f>
        <v>#REF!</v>
      </c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4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 t="e">
        <f>IF(IF($B$136,$C$153 = 0,COUNTIF(#REF!, "= 0")+ COUNTBLANK(#REF!) = 1),$Y$187,NA())</f>
        <v>#REF!</v>
      </c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4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 t="e">
        <f>$D$153</f>
        <v>#REF!</v>
      </c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 t="e">
        <f>$D$153</f>
        <v>#REF!</v>
      </c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4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 t="e">
        <f>IF(IF($B$136,$C$154 = 0,COUNTIF(#REF!, "= 0")+ COUNTBLANK(#REF!) = 1),$Y$190,NA())</f>
        <v>#REF!</v>
      </c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4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 t="e">
        <f>$D$154</f>
        <v>#REF!</v>
      </c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34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 t="e">
        <f>$D$154</f>
        <v>#REF!</v>
      </c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 t="e">
        <f>IF(IF($B$136,$C$155 = 0,COUNTIF(#REF!, "= 0")+ COUNTBLANK(#REF!) = 1),$Y$193,NA())</f>
        <v>#REF!</v>
      </c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34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 t="e">
        <f>$D$155</f>
        <v>#REF!</v>
      </c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34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 t="e">
        <f>$D$155</f>
        <v>#REF!</v>
      </c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34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 t="e">
        <f>IF(IF($B$136,$C$156 = 0,COUNTIF(#REF!, "= 0")+ COUNTBLANK(#REF!) = 1),$Y$196,NA())</f>
        <v>#REF!</v>
      </c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 t="e">
        <f>$D$156</f>
        <v>#REF!</v>
      </c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34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 t="e">
        <f>$D$156</f>
        <v>#REF!</v>
      </c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34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 t="e">
        <f>IF(IF($B$136,$C$157 = 0,COUNTIF(#REF!, "= 0")+ COUNTBLANK(#REF!) = 1),$Y$199,NA())</f>
        <v>#REF!</v>
      </c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34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 t="e">
        <f>$D$157</f>
        <v>#REF!</v>
      </c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 t="e">
        <f>$D$157</f>
        <v>#REF!</v>
      </c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34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 t="e">
        <f>IF(IF($B$136,$C$158 = 0,COUNTIF(#REF!, "= 0")+ COUNTBLANK(#REF!) = 1),$Y$202,NA())</f>
        <v>#REF!</v>
      </c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3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 t="e">
        <f>$D$158</f>
        <v>#REF!</v>
      </c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34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 t="e">
        <f>$D$158</f>
        <v>#REF!</v>
      </c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 t="e">
        <f>IF(IF($B$136,$C$159 = 0,COUNTIF(#REF!, "= 0")+ COUNTBLANK(#REF!) = 1),$Y$205,NA())</f>
        <v>#REF!</v>
      </c>
      <c r="Z206" s="46"/>
      <c r="AA206" s="46"/>
      <c r="AB206" s="46"/>
      <c r="AC206" s="46"/>
      <c r="AD206" s="46"/>
      <c r="AE206" s="46"/>
      <c r="AF206" s="46"/>
      <c r="AG206" s="46"/>
      <c r="AH206" s="46"/>
    </row>
    <row r="208" spans="1:34">
      <c r="A208" s="46" t="s">
        <v>93</v>
      </c>
      <c r="B208" s="46" t="s">
        <v>94</v>
      </c>
      <c r="C208" s="46" t="s">
        <v>95</v>
      </c>
      <c r="D208" s="46" t="s">
        <v>96</v>
      </c>
      <c r="E208" s="46" t="s">
        <v>97</v>
      </c>
      <c r="F208" s="46" t="s">
        <v>98</v>
      </c>
      <c r="G208" s="46" t="s">
        <v>99</v>
      </c>
      <c r="H208" s="46" t="s">
        <v>100</v>
      </c>
      <c r="I208" s="46" t="s">
        <v>101</v>
      </c>
      <c r="J208" s="46" t="s">
        <v>102</v>
      </c>
      <c r="K208" s="46" t="s">
        <v>103</v>
      </c>
      <c r="L208" s="46" t="s">
        <v>104</v>
      </c>
      <c r="M208" s="46" t="s">
        <v>105</v>
      </c>
      <c r="N208" s="46" t="s">
        <v>106</v>
      </c>
      <c r="O208" s="46" t="s">
        <v>107</v>
      </c>
      <c r="P208" s="46" t="s">
        <v>108</v>
      </c>
      <c r="Q208" s="46" t="s">
        <v>109</v>
      </c>
      <c r="R208" s="46" t="s">
        <v>110</v>
      </c>
      <c r="S208" s="46" t="s">
        <v>111</v>
      </c>
      <c r="T208" s="46" t="s">
        <v>112</v>
      </c>
      <c r="U208" s="46" t="s">
        <v>113</v>
      </c>
      <c r="V208" s="46" t="s">
        <v>114</v>
      </c>
      <c r="W208" s="46" t="s">
        <v>115</v>
      </c>
      <c r="X208" s="46" t="s">
        <v>116</v>
      </c>
      <c r="Y208" s="46" t="s">
        <v>117</v>
      </c>
      <c r="Z208" s="46" t="s">
        <v>118</v>
      </c>
      <c r="AA208" s="46" t="s">
        <v>119</v>
      </c>
      <c r="AB208" s="46" t="s">
        <v>120</v>
      </c>
      <c r="AC208" s="46" t="s">
        <v>121</v>
      </c>
      <c r="AD208" s="46" t="s">
        <v>122</v>
      </c>
      <c r="AE208" s="46" t="s">
        <v>123</v>
      </c>
      <c r="AF208" s="46" t="s">
        <v>124</v>
      </c>
      <c r="AG208" s="46" t="s">
        <v>125</v>
      </c>
      <c r="AH208" s="46" t="s">
        <v>126</v>
      </c>
    </row>
    <row r="209" spans="1:34">
      <c r="A209" s="46">
        <v>5</v>
      </c>
      <c r="B209" s="46" t="b">
        <v>1</v>
      </c>
      <c r="C209" s="46" t="e">
        <f>#REF!</f>
        <v>#REF!</v>
      </c>
      <c r="D209" s="46" t="e">
        <f>$C$209</f>
        <v>#REF!</v>
      </c>
      <c r="E209" s="46"/>
      <c r="F209" s="46"/>
      <c r="G209" s="46"/>
      <c r="H209" s="46"/>
      <c r="I209" s="46"/>
      <c r="J209" s="46"/>
      <c r="K209" s="46" t="e">
        <f>IF(COUNTIF(#REF!, "= 0")+ COUNTBLANK(#REF!) = 1,NA(),IF($B$209,$D$209,NA()))</f>
        <v>#REF!</v>
      </c>
      <c r="L209" s="46" t="e">
        <f>$D$209</f>
        <v>#REF!</v>
      </c>
      <c r="M209" s="46" t="e">
        <f>IF(COUNTIF(#REF!, "= 0")+ COUNTBLANK(#REF!) = 1,NA(),IF($B$209,NA(),IF($C$209&gt;= 0,$R$209,NA())))</f>
        <v>#REF!</v>
      </c>
      <c r="N209" s="46" t="e">
        <f>IF(COUNTIF(#REF!, "= 0")+ COUNTBLANK(#REF!) = 1,NA(),IF($B$209,NA(),IF($C$209&lt;= 0,$Q$209,NA())))</f>
        <v>#REF!</v>
      </c>
      <c r="O209" s="46" t="e">
        <f>$C$209</f>
        <v>#REF!</v>
      </c>
      <c r="P209" s="46" t="e">
        <f>$C$209</f>
        <v>#REF!</v>
      </c>
      <c r="Q209" s="46">
        <f>SUMIF($Z$209:$Z$209,"&lt;0")</f>
        <v>0</v>
      </c>
      <c r="R209" s="46">
        <f>SUMIF($Z$209:$Z$209,"&gt;0")</f>
        <v>0</v>
      </c>
      <c r="S209" s="46"/>
      <c r="T209" s="46"/>
      <c r="U209" s="46"/>
      <c r="V209" s="46"/>
      <c r="W209" s="46"/>
      <c r="X209" s="46"/>
      <c r="Y209" s="46" t="e">
        <f>$D$209</f>
        <v>#REF!</v>
      </c>
      <c r="Z209" s="46" t="e">
        <f>#REF!</f>
        <v>#REF!</v>
      </c>
      <c r="AA209" s="46">
        <v>0</v>
      </c>
      <c r="AB209" s="46">
        <v>0</v>
      </c>
      <c r="AC209" s="46"/>
      <c r="AD209" s="46"/>
      <c r="AE209" s="46">
        <f>IF($B$209,,IF($Z$209 &lt; 0,$Z$209,))</f>
        <v>0</v>
      </c>
      <c r="AF209" s="46">
        <f>IF($B$209,,IF($Z$209 &gt; 0,$Z$209,))</f>
        <v>0</v>
      </c>
      <c r="AG209" s="46"/>
      <c r="AH209" s="46" t="e">
        <f>IF($B$209,NA(),IF($Z$209 = 0,NA(),IF($Z$209 &gt; 0,$AB$209 + $Z$209/2,-$AA$209 + $Z$209/2)))</f>
        <v>#N/A</v>
      </c>
    </row>
    <row r="210" spans="1:34">
      <c r="A210" s="46"/>
      <c r="B210" s="46" t="b">
        <v>1</v>
      </c>
      <c r="C210" s="46" t="e">
        <f>#REF!</f>
        <v>#REF!</v>
      </c>
      <c r="D210" s="46" t="e">
        <f>SUM($D$209,$C$210)</f>
        <v>#REF!</v>
      </c>
      <c r="E210" s="46" t="e">
        <f>$D$209&gt;=0</f>
        <v>#REF!</v>
      </c>
      <c r="F210" s="46" t="e">
        <f>IF($B$210,AND($D$209&lt;=0,SUM($D$209,$C$210)&gt; 0),AND($D$209&lt;=0,SUM($D$209,$R$210)&gt; 0))</f>
        <v>#REF!</v>
      </c>
      <c r="G210" s="46" t="e">
        <f>IF($B$210,AND($D$209&gt;=0,SUM($D$209,$C$210)&lt; 0),AND($D$209&gt;=0,SUM($D$209,$Q$210)&lt; 0))</f>
        <v>#REF!</v>
      </c>
      <c r="H210" s="46" t="e">
        <f>OR($G$210,$F$210)</f>
        <v>#REF!</v>
      </c>
      <c r="I210" s="46" t="e">
        <f>IF($H$210,IF($G$210,"atb","bta"),IF($E$210,"nca","ncb"))</f>
        <v>#REF!</v>
      </c>
      <c r="J210" s="46" t="e">
        <f>IF($H$210,0,IF($B$210,IF($E$210,IF($C$210&gt;=0,$D$209,$D$209+$C$210),IF($C$210&gt;=0,$D$209+$C$210,$D$209)),IF($E$210,SUM($D$209,$Q$210),SUM($D$209,$R$210))))</f>
        <v>#REF!</v>
      </c>
      <c r="K210" s="46"/>
      <c r="L210" s="46"/>
      <c r="M210" s="46" t="e">
        <f>IF(COUNTIF(#REF!, "= 0")+ COUNTBLANK(#REF!) = 1,NA(),IF($B$210,NA(),IF($C$210&gt;=0,SUM($D$209,$R$210),NA())))</f>
        <v>#REF!</v>
      </c>
      <c r="N210" s="46" t="e">
        <f>IF(COUNTIF(#REF!, "= 0")+ COUNTBLANK(#REF!) = 1,NA(),IF($B$210,NA(),IF($C$210&gt;=0,NA(),SUM($D$209,$Q$210))))</f>
        <v>#REF!</v>
      </c>
      <c r="O210" s="46" t="e">
        <f>$C$210</f>
        <v>#REF!</v>
      </c>
      <c r="P210" s="46" t="e">
        <f>$C$210</f>
        <v>#REF!</v>
      </c>
      <c r="Q210" s="46">
        <f>SUMIF($Z$210:$Z$210,"&lt;0")</f>
        <v>0</v>
      </c>
      <c r="R210" s="46">
        <f>SUMIF($Z$210:$Z$210,"&gt;0")</f>
        <v>0</v>
      </c>
      <c r="S210" s="46" t="e">
        <f>IF($B$210,IF($I$210="nca",IF($C$210&gt;=0,0,ABS($C$210)),IF($I$210="ncb",0,IF($I$210="atb",IF($C$210&gt;=0,0,IF($D$209&lt;0,0,IF(ABS($C$210)&gt;$D$209,$D$209,ABS($C$210)))),IF($I$210="bta",0,"err")))),)</f>
        <v>#REF!</v>
      </c>
      <c r="T210" s="46" t="e">
        <f>IF($B$210,IF($I$210="nca",IF($C$210&lt;0,0,ABS($C$210)),IF($I$210="ncb",0,IF($I$210="atb",IF($C$210&lt;=0,0,$C$210),IF($I$210="bta",IF($C$210&lt;=0,0,$V$210+$C$210),"err")))),)</f>
        <v>#REF!</v>
      </c>
      <c r="U210" s="46" t="e">
        <f>IF($B$210,IF($I$210="nca",0,IF($I$210="ncb",IF($C$210&lt;=0,-ABS($C$210),0),IF($I$210="atb",IF($C$210&lt;0,$C$210+$S$210,0),IF($I$210="bta",IF($C$210&lt;=0,$C$210,0),"err")))),)</f>
        <v>#REF!</v>
      </c>
      <c r="V210" s="46" t="e">
        <f>IF($B$210,IF($I$210="nca",0,IF($I$210="ncb",IF($C$210&gt;=0,-ABS($C$210),0),IF($I$210="atb",0,IF($I$210="bta",IF($C$210&lt;=0,0,IF($D$209&gt;0,0,IF(ABS($C$210)&lt;ABS($D$209),-ABS($C$210),$D$209))),"err")))),)</f>
        <v>#REF!</v>
      </c>
      <c r="W210" s="46" t="e">
        <f>IF($C$210&gt;=0,IF($B$210,IF($C$210=0,NA(),$D$210),NA()),NA())</f>
        <v>#REF!</v>
      </c>
      <c r="X210" s="46" t="e">
        <f>IF($C$210&lt;0,IF($B$210,IF($C$210=0,NA(),$D$210),NA()),NA())</f>
        <v>#REF!</v>
      </c>
      <c r="Y210" s="46" t="e">
        <f>$D$209</f>
        <v>#REF!</v>
      </c>
      <c r="Z210" s="46" t="e">
        <f>#REF!</f>
        <v>#REF!</v>
      </c>
      <c r="AA210" s="46">
        <v>0</v>
      </c>
      <c r="AB210" s="46">
        <v>0</v>
      </c>
      <c r="AC210" s="46">
        <f>IF($B$210,,IF($I$210="nca",IF($Z$210&gt;=0,0,ABS($Z$210)),IF($I$210="ncb",0,IF($I$210="atb",IF($Z$210&gt;=0,0,IF($D$209-$AA$210&lt;0,0,IF(ABS($Z$210)&gt;$D$209-$AA$210,$D$209-$AA$210,ABS($Z$210)))),IF($I$210="bta",0,"err")))))</f>
        <v>0</v>
      </c>
      <c r="AD210" s="46">
        <f>IF($B$210,,IF($I$210="nca",0,IF($I$210="ncb",IF($Z$210&gt;=0,-ABS($Z$210),0),IF($I$210="atb",0,IF($I$210="bta",IF($Z$210&lt;=0,0,IF($D$209+$AB$210&gt;0,0,IF(ABS($Z$210)&lt;ABS($D$209+$AB$210),-ABS($Z$210),$D$209+$AB$210))),"err")))))</f>
        <v>0</v>
      </c>
      <c r="AE210" s="46">
        <f>IF($B$210,,IF($I$210="nca",0,IF($I$210="ncb",IF($Z$210&lt;=0,-ABS($Z$210),0),IF($I$210="atb",IF($Z$210&lt;0,$Z$210+$AC$210,0),IF($I$210="bta",IF($Z$210&lt;=0,$Z$210,0),"err")))))</f>
        <v>0</v>
      </c>
      <c r="AF210" s="46">
        <f>IF($B$210,,IF($I$210="nca",IF($Z$210&lt;0,0,ABS($Z$210)),IF($I$210="ncb",0,IF($I$210="atb",IF($Z$210&lt;=0,0,$Z$210),IF($I$210="bta",IF($Z$210&lt;=0,0,$AD$210+$Z$210),"err")))))</f>
        <v>0</v>
      </c>
      <c r="AG210" s="46" t="b">
        <f>IF(SUM(COUNTIFS($AF$210,"&lt;&gt;0",$AF$210,"&lt;&gt;"),COUNTIFS($AC$210,"&lt;&gt;0",$AC$210,"&lt;&gt;"),COUNTIFS($AD$210,"&lt;&gt;0",$AD$210,"&lt;&gt;"),COUNTIFS($AE$210,"&lt;&gt;0",$AE$210,"&lt;&gt;"))=2,TRUE,FALSE)</f>
        <v>0</v>
      </c>
      <c r="AH210" s="46" t="e">
        <f>IF($B$210,NA(),IF($Z$210=0,NA(),IF($AG$210,SUM($AC$210,$AF$210,$AD$210,$AE$210)/2,IF(OR($AF$210&lt;&gt;0,$AD$210&lt;&gt;0),$D$209+$AB$210,$D$209-$AA$210)+$Z$210/2)))</f>
        <v>#N/A</v>
      </c>
    </row>
    <row r="211" spans="1:34">
      <c r="A211" s="46"/>
      <c r="B211" s="46"/>
      <c r="C211" s="46" t="e">
        <f>#REF!</f>
        <v>#REF!</v>
      </c>
      <c r="D211" s="46" t="e">
        <f>SUM($D$210,$C$211)</f>
        <v>#REF!</v>
      </c>
      <c r="E211" s="46" t="e">
        <f>$D$210&gt;=0</f>
        <v>#REF!</v>
      </c>
      <c r="F211" s="46" t="e">
        <f>IF($B$210,AND($D$210&lt;=0,SUM($D$210,$C$211)&gt; 0),AND($D$210&lt;=0,SUM($D$210,$R$211)&gt; 0))</f>
        <v>#REF!</v>
      </c>
      <c r="G211" s="46" t="e">
        <f>IF($B$210,AND($D$210&gt;=0,SUM($D$210,$C$211)&lt; 0),AND($D$210&gt;=0,SUM($D$210,$Q$211)&lt; 0))</f>
        <v>#REF!</v>
      </c>
      <c r="H211" s="46" t="e">
        <f>OR($G$211,$F$211)</f>
        <v>#REF!</v>
      </c>
      <c r="I211" s="46" t="e">
        <f>IF($H$211,IF($G$211,"atb","bta"),IF($E$211,"nca","ncb"))</f>
        <v>#REF!</v>
      </c>
      <c r="J211" s="46" t="e">
        <f>IF($H$211,0,IF($B$210,IF($E$211,IF($C$211&gt;=0,$D$210,$D$210+$C$211),IF($C$211&gt;=0,$D$210+$C$211,$D$210)),IF($E$211,SUM($D$210,$Q$211),SUM($D$210,$R$211))))</f>
        <v>#REF!</v>
      </c>
      <c r="K211" s="46"/>
      <c r="L211" s="46"/>
      <c r="M211" s="46" t="e">
        <f>IF(COUNTIF(#REF!, "= 0")+ COUNTBLANK(#REF!) = 1,NA(),IF($B$210,NA(),IF($C$211&gt;=0,SUM($D$210,$R$211),NA())))</f>
        <v>#REF!</v>
      </c>
      <c r="N211" s="46" t="e">
        <f>IF(COUNTIF(#REF!, "= 0")+ COUNTBLANK(#REF!) = 1,NA(),IF($B$210,NA(),IF($C$211&gt;=0,NA(),SUM($D$210,$Q$211))))</f>
        <v>#REF!</v>
      </c>
      <c r="O211" s="46" t="e">
        <f>$C$211</f>
        <v>#REF!</v>
      </c>
      <c r="P211" s="46" t="e">
        <f>$C$211</f>
        <v>#REF!</v>
      </c>
      <c r="Q211" s="46">
        <f>SUMIF($Z$211:$Z$211,"&lt;0")</f>
        <v>0</v>
      </c>
      <c r="R211" s="46">
        <f>SUMIF($Z$211:$Z$211,"&gt;0")</f>
        <v>0</v>
      </c>
      <c r="S211" s="46" t="e">
        <f>IF($B$210,IF($I$211="nca",IF($C$211&gt;=0,0,ABS($C$211)),IF($I$211="ncb",0,IF($I$211="atb",IF($C$211&gt;=0,0,IF($D$210&lt;0,0,IF(ABS($C$211)&gt;$D$210,$D$210,ABS($C$211)))),IF($I$211="bta",0,"err")))),)</f>
        <v>#REF!</v>
      </c>
      <c r="T211" s="46" t="e">
        <f>IF($B$210,IF($I$211="nca",IF($C$211&lt;0,0,ABS($C$211)),IF($I$211="ncb",0,IF($I$211="atb",IF($C$211&lt;=0,0,$C$211),IF($I$211="bta",IF($C$211&lt;=0,0,$V$211+$C$211),"err")))),)</f>
        <v>#REF!</v>
      </c>
      <c r="U211" s="46" t="e">
        <f>IF($B$210,IF($I$211="nca",0,IF($I$211="ncb",IF($C$211&lt;=0,-ABS($C$211),0),IF($I$211="atb",IF($C$211&lt;0,$C$211+$S$211,0),IF($I$211="bta",IF($C$211&lt;=0,$C$211,0),"err")))),)</f>
        <v>#REF!</v>
      </c>
      <c r="V211" s="46" t="e">
        <f>IF($B$210,IF($I$211="nca",0,IF($I$211="ncb",IF($C$211&gt;=0,-ABS($C$211),0),IF($I$211="atb",0,IF($I$211="bta",IF($C$211&lt;=0,0,IF($D$210&gt;0,0,IF(ABS($C$211)&lt;ABS($D$210),-ABS($C$211),$D$210))),"err")))),)</f>
        <v>#REF!</v>
      </c>
      <c r="W211" s="46" t="e">
        <f>IF($C$211&gt;=0,IF($B$210,IF($C$211=0,NA(),$D$211),NA()),NA())</f>
        <v>#REF!</v>
      </c>
      <c r="X211" s="46" t="e">
        <f>IF($C$211&lt;0,IF($B$210,IF($C$211=0,NA(),$D$211),NA()),NA())</f>
        <v>#REF!</v>
      </c>
      <c r="Y211" s="46" t="e">
        <f>IF(IF($B$210,$C$210 = 0,COUNTIF(#REF!, "= 0")+ COUNTBLANK(#REF!) = 1),$Y$210,NA())</f>
        <v>#REF!</v>
      </c>
      <c r="Z211" s="46" t="e">
        <f>#REF!</f>
        <v>#REF!</v>
      </c>
      <c r="AA211" s="46">
        <v>0</v>
      </c>
      <c r="AB211" s="46">
        <v>0</v>
      </c>
      <c r="AC211" s="46">
        <f>IF($B$210,,IF($I$211="nca",IF($Z$211&gt;=0,0,ABS($Z$211)),IF($I$211="ncb",0,IF($I$211="atb",IF($Z$211&gt;=0,0,IF($D$210-$AA$211&lt;0,0,IF(ABS($Z$211)&gt;$D$210-$AA$211,$D$210-$AA$211,ABS($Z$211)))),IF($I$211="bta",0,"err")))))</f>
        <v>0</v>
      </c>
      <c r="AD211" s="46">
        <f>IF($B$210,,IF($I$211="nca",0,IF($I$211="ncb",IF($Z$211&gt;=0,-ABS($Z$211),0),IF($I$211="atb",0,IF($I$211="bta",IF($Z$211&lt;=0,0,IF($D$210+$AB$211&gt;0,0,IF(ABS($Z$211)&lt;ABS($D$210+$AB$211),-ABS($Z$211),$D$210+$AB$211))),"err")))))</f>
        <v>0</v>
      </c>
      <c r="AE211" s="46">
        <f>IF($B$210,,IF($I$211="nca",0,IF($I$211="ncb",IF($Z$211&lt;=0,-ABS($Z$211),0),IF($I$211="atb",IF($Z$211&lt;0,$Z$211+$AC$211,0),IF($I$211="bta",IF($Z$211&lt;=0,$Z$211,0),"err")))))</f>
        <v>0</v>
      </c>
      <c r="AF211" s="46">
        <f>IF($B$210,,IF($I$211="nca",IF($Z$211&lt;0,0,ABS($Z$211)),IF($I$211="ncb",0,IF($I$211="atb",IF($Z$211&lt;=0,0,$Z$211),IF($I$211="bta",IF($Z$211&lt;=0,0,$AD$211+$Z$211),"err")))))</f>
        <v>0</v>
      </c>
      <c r="AG211" s="46" t="b">
        <f>IF(SUM(COUNTIFS($AF$211,"&lt;&gt;0",$AF$211,"&lt;&gt;"),COUNTIFS($AC$211,"&lt;&gt;0",$AC$211,"&lt;&gt;"),COUNTIFS($AD$211,"&lt;&gt;0",$AD$211,"&lt;&gt;"),COUNTIFS($AE$211,"&lt;&gt;0",$AE$211,"&lt;&gt;"))=2,TRUE,FALSE)</f>
        <v>0</v>
      </c>
      <c r="AH211" s="46" t="e">
        <f>IF($B$210,NA(),IF($Z$211=0,NA(),IF($AG$211,SUM($AC$211,$AF$211,$AD$211,$AE$211)/2,IF(OR($AF$211&lt;&gt;0,$AD$211&lt;&gt;0),$D$210+$AB$211,$D$210-$AA$211)+$Z$211/2)))</f>
        <v>#N/A</v>
      </c>
    </row>
    <row r="212" spans="1:34">
      <c r="A212" s="46"/>
      <c r="B212" s="46"/>
      <c r="C212" s="46" t="e">
        <f>#REF!</f>
        <v>#REF!</v>
      </c>
      <c r="D212" s="46" t="e">
        <f>SUM($D$211,$C$212)</f>
        <v>#REF!</v>
      </c>
      <c r="E212" s="46" t="e">
        <f>$D$211&gt;=0</f>
        <v>#REF!</v>
      </c>
      <c r="F212" s="46" t="e">
        <f>IF($B$210,AND($D$211&lt;=0,SUM($D$211,$C$212)&gt; 0),AND($D$211&lt;=0,SUM($D$211,$R$212)&gt; 0))</f>
        <v>#REF!</v>
      </c>
      <c r="G212" s="46" t="e">
        <f>IF($B$210,AND($D$211&gt;=0,SUM($D$211,$C$212)&lt; 0),AND($D$211&gt;=0,SUM($D$211,$Q$212)&lt; 0))</f>
        <v>#REF!</v>
      </c>
      <c r="H212" s="46" t="e">
        <f>OR($G$212,$F$212)</f>
        <v>#REF!</v>
      </c>
      <c r="I212" s="46" t="e">
        <f>IF($H$212,IF($G$212,"atb","bta"),IF($E$212,"nca","ncb"))</f>
        <v>#REF!</v>
      </c>
      <c r="J212" s="46" t="e">
        <f>IF($H$212,0,IF($B$210,IF($E$212,IF($C$212&gt;=0,$D$211,$D$211+$C$212),IF($C$212&gt;=0,$D$211+$C$212,$D$211)),IF($E$212,SUM($D$211,$Q$212),SUM($D$211,$R$212))))</f>
        <v>#REF!</v>
      </c>
      <c r="K212" s="46"/>
      <c r="L212" s="46"/>
      <c r="M212" s="46" t="e">
        <f>IF(COUNTIF(#REF!, "= 0")+ COUNTBLANK(#REF!) = 1,NA(),IF($B$210,NA(),IF($C$212&gt;=0,SUM($D$211,$R$212),NA())))</f>
        <v>#REF!</v>
      </c>
      <c r="N212" s="46" t="e">
        <f>IF(COUNTIF(#REF!, "= 0")+ COUNTBLANK(#REF!) = 1,NA(),IF($B$210,NA(),IF($C$212&gt;=0,NA(),SUM($D$211,$Q$212))))</f>
        <v>#REF!</v>
      </c>
      <c r="O212" s="46" t="e">
        <f>$C$212</f>
        <v>#REF!</v>
      </c>
      <c r="P212" s="46" t="e">
        <f>$C$212</f>
        <v>#REF!</v>
      </c>
      <c r="Q212" s="46">
        <f>SUMIF($Z$212:$Z$212,"&lt;0")</f>
        <v>0</v>
      </c>
      <c r="R212" s="46">
        <f>SUMIF($Z$212:$Z$212,"&gt;0")</f>
        <v>0</v>
      </c>
      <c r="S212" s="46" t="e">
        <f>IF($B$210,IF($I$212="nca",IF($C$212&gt;=0,0,ABS($C$212)),IF($I$212="ncb",0,IF($I$212="atb",IF($C$212&gt;=0,0,IF($D$211&lt;0,0,IF(ABS($C$212)&gt;$D$211,$D$211,ABS($C$212)))),IF($I$212="bta",0,"err")))),)</f>
        <v>#REF!</v>
      </c>
      <c r="T212" s="46" t="e">
        <f>IF($B$210,IF($I$212="nca",IF($C$212&lt;0,0,ABS($C$212)),IF($I$212="ncb",0,IF($I$212="atb",IF($C$212&lt;=0,0,$C$212),IF($I$212="bta",IF($C$212&lt;=0,0,$V$212+$C$212),"err")))),)</f>
        <v>#REF!</v>
      </c>
      <c r="U212" s="46" t="e">
        <f>IF($B$210,IF($I$212="nca",0,IF($I$212="ncb",IF($C$212&lt;=0,-ABS($C$212),0),IF($I$212="atb",IF($C$212&lt;0,$C$212+$S$212,0),IF($I$212="bta",IF($C$212&lt;=0,$C$212,0),"err")))),)</f>
        <v>#REF!</v>
      </c>
      <c r="V212" s="46" t="e">
        <f>IF($B$210,IF($I$212="nca",0,IF($I$212="ncb",IF($C$212&gt;=0,-ABS($C$212),0),IF($I$212="atb",0,IF($I$212="bta",IF($C$212&lt;=0,0,IF($D$211&gt;0,0,IF(ABS($C$212)&lt;ABS($D$211),-ABS($C$212),$D$211))),"err")))),)</f>
        <v>#REF!</v>
      </c>
      <c r="W212" s="46" t="e">
        <f>IF($C$212&gt;=0,IF($B$210,IF($C$212=0,NA(),$D$212),NA()),NA())</f>
        <v>#REF!</v>
      </c>
      <c r="X212" s="46" t="e">
        <f>IF($C$212&lt;0,IF($B$210,IF($C$212=0,NA(),$D$212),NA()),NA())</f>
        <v>#REF!</v>
      </c>
      <c r="Y212" s="46" t="e">
        <f>$D$210</f>
        <v>#REF!</v>
      </c>
      <c r="Z212" s="46" t="e">
        <f>#REF!</f>
        <v>#REF!</v>
      </c>
      <c r="AA212" s="46">
        <v>0</v>
      </c>
      <c r="AB212" s="46">
        <v>0</v>
      </c>
      <c r="AC212" s="46">
        <f>IF($B$210,,IF($I$212="nca",IF($Z$212&gt;=0,0,ABS($Z$212)),IF($I$212="ncb",0,IF($I$212="atb",IF($Z$212&gt;=0,0,IF($D$211-$AA$212&lt;0,0,IF(ABS($Z$212)&gt;$D$211-$AA$212,$D$211-$AA$212,ABS($Z$212)))),IF($I$212="bta",0,"err")))))</f>
        <v>0</v>
      </c>
      <c r="AD212" s="46">
        <f>IF($B$210,,IF($I$212="nca",0,IF($I$212="ncb",IF($Z$212&gt;=0,-ABS($Z$212),0),IF($I$212="atb",0,IF($I$212="bta",IF($Z$212&lt;=0,0,IF($D$211+$AB$212&gt;0,0,IF(ABS($Z$212)&lt;ABS($D$211+$AB$212),-ABS($Z$212),$D$211+$AB$212))),"err")))))</f>
        <v>0</v>
      </c>
      <c r="AE212" s="46">
        <f>IF($B$210,,IF($I$212="nca",0,IF($I$212="ncb",IF($Z$212&lt;=0,-ABS($Z$212),0),IF($I$212="atb",IF($Z$212&lt;0,$Z$212+$AC$212,0),IF($I$212="bta",IF($Z$212&lt;=0,$Z$212,0),"err")))))</f>
        <v>0</v>
      </c>
      <c r="AF212" s="46">
        <f>IF($B$210,,IF($I$212="nca",IF($Z$212&lt;0,0,ABS($Z$212)),IF($I$212="ncb",0,IF($I$212="atb",IF($Z$212&lt;=0,0,$Z$212),IF($I$212="bta",IF($Z$212&lt;=0,0,$AD$212+$Z$212),"err")))))</f>
        <v>0</v>
      </c>
      <c r="AG212" s="46" t="b">
        <f>IF(SUM(COUNTIFS($AF$212,"&lt;&gt;0",$AF$212,"&lt;&gt;"),COUNTIFS($AC$212,"&lt;&gt;0",$AC$212,"&lt;&gt;"),COUNTIFS($AD$212,"&lt;&gt;0",$AD$212,"&lt;&gt;"),COUNTIFS($AE$212,"&lt;&gt;0",$AE$212,"&lt;&gt;"))=2,TRUE,FALSE)</f>
        <v>0</v>
      </c>
      <c r="AH212" s="46" t="e">
        <f>IF($B$210,NA(),IF($Z$212=0,NA(),IF($AG$212,SUM($AC$212,$AF$212,$AD$212,$AE$212)/2,IF(OR($AF$212&lt;&gt;0,$AD$212&lt;&gt;0),$D$211+$AB$212,$D$211-$AA$212)+$Z$212/2)))</f>
        <v>#N/A</v>
      </c>
    </row>
    <row r="213" spans="1:34">
      <c r="A213" s="46"/>
      <c r="B213" s="46"/>
      <c r="C213" s="46" t="e">
        <f>#REF!</f>
        <v>#REF!</v>
      </c>
      <c r="D213" s="46" t="e">
        <f>SUM($D$212,$C$213)</f>
        <v>#REF!</v>
      </c>
      <c r="E213" s="46" t="e">
        <f>$D$212&gt;=0</f>
        <v>#REF!</v>
      </c>
      <c r="F213" s="46" t="e">
        <f>IF($B$210,AND($D$212&lt;=0,SUM($D$212,$C$213)&gt; 0),AND($D$212&lt;=0,SUM($D$212,$R$213)&gt; 0))</f>
        <v>#REF!</v>
      </c>
      <c r="G213" s="46" t="e">
        <f>IF($B$210,AND($D$212&gt;=0,SUM($D$212,$C$213)&lt; 0),AND($D$212&gt;=0,SUM($D$212,$Q$213)&lt; 0))</f>
        <v>#REF!</v>
      </c>
      <c r="H213" s="46" t="e">
        <f>OR($G$213,$F$213)</f>
        <v>#REF!</v>
      </c>
      <c r="I213" s="46" t="e">
        <f>IF($H$213,IF($G$213,"atb","bta"),IF($E$213,"nca","ncb"))</f>
        <v>#REF!</v>
      </c>
      <c r="J213" s="46" t="e">
        <f>IF($H$213,0,IF($B$210,IF($E$213,IF($C$213&gt;=0,$D$212,$D$212+$C$213),IF($C$213&gt;=0,$D$212+$C$213,$D$212)),IF($E$213,SUM($D$212,$Q$213),SUM($D$212,$R$213))))</f>
        <v>#REF!</v>
      </c>
      <c r="K213" s="46"/>
      <c r="L213" s="46"/>
      <c r="M213" s="46" t="e">
        <f>IF(COUNTIF(#REF!, "= 0")+ COUNTBLANK(#REF!) = 1,NA(),IF($B$210,NA(),IF($C$213&gt;=0,SUM($D$212,$R$213),NA())))</f>
        <v>#REF!</v>
      </c>
      <c r="N213" s="46" t="e">
        <f>IF(COUNTIF(#REF!, "= 0")+ COUNTBLANK(#REF!) = 1,NA(),IF($B$210,NA(),IF($C$213&gt;=0,NA(),SUM($D$212,$Q$213))))</f>
        <v>#REF!</v>
      </c>
      <c r="O213" s="46" t="e">
        <f>$C$213</f>
        <v>#REF!</v>
      </c>
      <c r="P213" s="46" t="e">
        <f>$C$213</f>
        <v>#REF!</v>
      </c>
      <c r="Q213" s="46">
        <f>SUMIF($Z$213:$Z$213,"&lt;0")</f>
        <v>0</v>
      </c>
      <c r="R213" s="46">
        <f>SUMIF($Z$213:$Z$213,"&gt;0")</f>
        <v>0</v>
      </c>
      <c r="S213" s="46" t="e">
        <f>IF($B$210,IF($I$213="nca",IF($C$213&gt;=0,0,ABS($C$213)),IF($I$213="ncb",0,IF($I$213="atb",IF($C$213&gt;=0,0,IF($D$212&lt;0,0,IF(ABS($C$213)&gt;$D$212,$D$212,ABS($C$213)))),IF($I$213="bta",0,"err")))),)</f>
        <v>#REF!</v>
      </c>
      <c r="T213" s="46" t="e">
        <f>IF($B$210,IF($I$213="nca",IF($C$213&lt;0,0,ABS($C$213)),IF($I$213="ncb",0,IF($I$213="atb",IF($C$213&lt;=0,0,$C$213),IF($I$213="bta",IF($C$213&lt;=0,0,$V$213+$C$213),"err")))),)</f>
        <v>#REF!</v>
      </c>
      <c r="U213" s="46" t="e">
        <f>IF($B$210,IF($I$213="nca",0,IF($I$213="ncb",IF($C$213&lt;=0,-ABS($C$213),0),IF($I$213="atb",IF($C$213&lt;0,$C$213+$S$213,0),IF($I$213="bta",IF($C$213&lt;=0,$C$213,0),"err")))),)</f>
        <v>#REF!</v>
      </c>
      <c r="V213" s="46" t="e">
        <f>IF($B$210,IF($I$213="nca",0,IF($I$213="ncb",IF($C$213&gt;=0,-ABS($C$213),0),IF($I$213="atb",0,IF($I$213="bta",IF($C$213&lt;=0,0,IF($D$212&gt;0,0,IF(ABS($C$213)&lt;ABS($D$212),-ABS($C$213),$D$212))),"err")))),)</f>
        <v>#REF!</v>
      </c>
      <c r="W213" s="46" t="e">
        <f>IF($C$213&gt;=0,IF($B$210,IF($C$213=0,NA(),$D$213),NA()),NA())</f>
        <v>#REF!</v>
      </c>
      <c r="X213" s="46" t="e">
        <f>IF($C$213&lt;0,IF($B$210,IF($C$213=0,NA(),$D$213),NA()),NA())</f>
        <v>#REF!</v>
      </c>
      <c r="Y213" s="46" t="e">
        <f>$D$210</f>
        <v>#REF!</v>
      </c>
      <c r="Z213" s="46" t="e">
        <f>#REF!</f>
        <v>#REF!</v>
      </c>
      <c r="AA213" s="46">
        <v>0</v>
      </c>
      <c r="AB213" s="46">
        <v>0</v>
      </c>
      <c r="AC213" s="46">
        <f>IF($B$210,,IF($I$213="nca",IF($Z$213&gt;=0,0,ABS($Z$213)),IF($I$213="ncb",0,IF($I$213="atb",IF($Z$213&gt;=0,0,IF($D$212-$AA$213&lt;0,0,IF(ABS($Z$213)&gt;$D$212-$AA$213,$D$212-$AA$213,ABS($Z$213)))),IF($I$213="bta",0,"err")))))</f>
        <v>0</v>
      </c>
      <c r="AD213" s="46">
        <f>IF($B$210,,IF($I$213="nca",0,IF($I$213="ncb",IF($Z$213&gt;=0,-ABS($Z$213),0),IF($I$213="atb",0,IF($I$213="bta",IF($Z$213&lt;=0,0,IF($D$212+$AB$213&gt;0,0,IF(ABS($Z$213)&lt;ABS($D$212+$AB$213),-ABS($Z$213),$D$212+$AB$213))),"err")))))</f>
        <v>0</v>
      </c>
      <c r="AE213" s="46">
        <f>IF($B$210,,IF($I$213="nca",0,IF($I$213="ncb",IF($Z$213&lt;=0,-ABS($Z$213),0),IF($I$213="atb",IF($Z$213&lt;0,$Z$213+$AC$213,0),IF($I$213="bta",IF($Z$213&lt;=0,$Z$213,0),"err")))))</f>
        <v>0</v>
      </c>
      <c r="AF213" s="46">
        <f>IF($B$210,,IF($I$213="nca",IF($Z$213&lt;0,0,ABS($Z$213)),IF($I$213="ncb",0,IF($I$213="atb",IF($Z$213&lt;=0,0,$Z$213),IF($I$213="bta",IF($Z$213&lt;=0,0,$AD$213+$Z$213),"err")))))</f>
        <v>0</v>
      </c>
      <c r="AG213" s="46" t="b">
        <f>IF(SUM(COUNTIFS($AF$213,"&lt;&gt;0",$AF$213,"&lt;&gt;"),COUNTIFS($AC$213,"&lt;&gt;0",$AC$213,"&lt;&gt;"),COUNTIFS($AD$213,"&lt;&gt;0",$AD$213,"&lt;&gt;"),COUNTIFS($AE$213,"&lt;&gt;0",$AE$213,"&lt;&gt;"))=2,TRUE,FALSE)</f>
        <v>0</v>
      </c>
      <c r="AH213" s="46" t="e">
        <f>IF($B$210,NA(),IF($Z$213=0,NA(),IF($AG$213,SUM($AC$213,$AF$213,$AD$213,$AE$213)/2,IF(OR($AF$213&lt;&gt;0,$AD$213&lt;&gt;0),$D$212+$AB$213,$D$212-$AA$213)+$Z$213/2)))</f>
        <v>#N/A</v>
      </c>
    </row>
    <row r="214" spans="1:34">
      <c r="A214" s="46"/>
      <c r="B214" s="46"/>
      <c r="C214" s="46" t="e">
        <f>#REF!</f>
        <v>#REF!</v>
      </c>
      <c r="D214" s="46" t="e">
        <f>SUM($D$213,$C$214)</f>
        <v>#REF!</v>
      </c>
      <c r="E214" s="46" t="e">
        <f>$D$213&gt;=0</f>
        <v>#REF!</v>
      </c>
      <c r="F214" s="46" t="e">
        <f>IF($B$210,AND($D$213&lt;=0,SUM($D$213,$C$214)&gt; 0),AND($D$213&lt;=0,SUM($D$213,$R$214)&gt; 0))</f>
        <v>#REF!</v>
      </c>
      <c r="G214" s="46" t="e">
        <f>IF($B$210,AND($D$213&gt;=0,SUM($D$213,$C$214)&lt; 0),AND($D$213&gt;=0,SUM($D$213,$Q$214)&lt; 0))</f>
        <v>#REF!</v>
      </c>
      <c r="H214" s="46" t="e">
        <f>OR($G$214,$F$214)</f>
        <v>#REF!</v>
      </c>
      <c r="I214" s="46" t="e">
        <f>IF($H$214,IF($G$214,"atb","bta"),IF($E$214,"nca","ncb"))</f>
        <v>#REF!</v>
      </c>
      <c r="J214" s="46" t="e">
        <f>IF($H$214,0,IF($B$210,IF($E$214,IF($C$214&gt;=0,$D$213,$D$213+$C$214),IF($C$214&gt;=0,$D$213+$C$214,$D$213)),IF($E$214,SUM($D$213,$Q$214),SUM($D$213,$R$214))))</f>
        <v>#REF!</v>
      </c>
      <c r="K214" s="46"/>
      <c r="L214" s="46"/>
      <c r="M214" s="46" t="e">
        <f>IF(COUNTIF(#REF!, "= 0")+ COUNTBLANK(#REF!) = 1,NA(),IF($B$210,NA(),IF($C$214&gt;=0,SUM($D$213,$R$214),NA())))</f>
        <v>#REF!</v>
      </c>
      <c r="N214" s="46" t="e">
        <f>IF(COUNTIF(#REF!, "= 0")+ COUNTBLANK(#REF!) = 1,NA(),IF($B$210,NA(),IF($C$214&gt;=0,NA(),SUM($D$213,$Q$214))))</f>
        <v>#REF!</v>
      </c>
      <c r="O214" s="46" t="e">
        <f>$C$214</f>
        <v>#REF!</v>
      </c>
      <c r="P214" s="46" t="e">
        <f>$C$214</f>
        <v>#REF!</v>
      </c>
      <c r="Q214" s="46">
        <f>SUMIF($Z$214:$Z$214,"&lt;0")</f>
        <v>0</v>
      </c>
      <c r="R214" s="46">
        <f>SUMIF($Z$214:$Z$214,"&gt;0")</f>
        <v>0</v>
      </c>
      <c r="S214" s="46" t="e">
        <f>IF($B$210,IF($I$214="nca",IF($C$214&gt;=0,0,ABS($C$214)),IF($I$214="ncb",0,IF($I$214="atb",IF($C$214&gt;=0,0,IF($D$213&lt;0,0,IF(ABS($C$214)&gt;$D$213,$D$213,ABS($C$214)))),IF($I$214="bta",0,"err")))),)</f>
        <v>#REF!</v>
      </c>
      <c r="T214" s="46" t="e">
        <f>IF($B$210,IF($I$214="nca",IF($C$214&lt;0,0,ABS($C$214)),IF($I$214="ncb",0,IF($I$214="atb",IF($C$214&lt;=0,0,$C$214),IF($I$214="bta",IF($C$214&lt;=0,0,$V$214+$C$214),"err")))),)</f>
        <v>#REF!</v>
      </c>
      <c r="U214" s="46" t="e">
        <f>IF($B$210,IF($I$214="nca",0,IF($I$214="ncb",IF($C$214&lt;=0,-ABS($C$214),0),IF($I$214="atb",IF($C$214&lt;0,$C$214+$S$214,0),IF($I$214="bta",IF($C$214&lt;=0,$C$214,0),"err")))),)</f>
        <v>#REF!</v>
      </c>
      <c r="V214" s="46" t="e">
        <f>IF($B$210,IF($I$214="nca",0,IF($I$214="ncb",IF($C$214&gt;=0,-ABS($C$214),0),IF($I$214="atb",0,IF($I$214="bta",IF($C$214&lt;=0,0,IF($D$213&gt;0,0,IF(ABS($C$214)&lt;ABS($D$213),-ABS($C$214),$D$213))),"err")))),)</f>
        <v>#REF!</v>
      </c>
      <c r="W214" s="46" t="e">
        <f>IF($C$214&gt;=0,IF($B$210,IF($C$214=0,NA(),$D$214),NA()),NA())</f>
        <v>#REF!</v>
      </c>
      <c r="X214" s="46" t="e">
        <f>IF($C$214&lt;0,IF($B$210,IF($C$214=0,NA(),$D$214),NA()),NA())</f>
        <v>#REF!</v>
      </c>
      <c r="Y214" s="46" t="e">
        <f>IF(IF($B$210,$C$211 = 0,COUNTIF(#REF!, "= 0")+ COUNTBLANK(#REF!) = 1),$Y$213,NA())</f>
        <v>#REF!</v>
      </c>
      <c r="Z214" s="46" t="e">
        <f>#REF!</f>
        <v>#REF!</v>
      </c>
      <c r="AA214" s="46">
        <v>0</v>
      </c>
      <c r="AB214" s="46">
        <v>0</v>
      </c>
      <c r="AC214" s="46">
        <f>IF($B$210,,IF($I$214="nca",IF($Z$214&gt;=0,0,ABS($Z$214)),IF($I$214="ncb",0,IF($I$214="atb",IF($Z$214&gt;=0,0,IF($D$213-$AA$214&lt;0,0,IF(ABS($Z$214)&gt;$D$213-$AA$214,$D$213-$AA$214,ABS($Z$214)))),IF($I$214="bta",0,"err")))))</f>
        <v>0</v>
      </c>
      <c r="AD214" s="46">
        <f>IF($B$210,,IF($I$214="nca",0,IF($I$214="ncb",IF($Z$214&gt;=0,-ABS($Z$214),0),IF($I$214="atb",0,IF($I$214="bta",IF($Z$214&lt;=0,0,IF($D$213+$AB$214&gt;0,0,IF(ABS($Z$214)&lt;ABS($D$213+$AB$214),-ABS($Z$214),$D$213+$AB$214))),"err")))))</f>
        <v>0</v>
      </c>
      <c r="AE214" s="46">
        <f>IF($B$210,,IF($I$214="nca",0,IF($I$214="ncb",IF($Z$214&lt;=0,-ABS($Z$214),0),IF($I$214="atb",IF($Z$214&lt;0,$Z$214+$AC$214,0),IF($I$214="bta",IF($Z$214&lt;=0,$Z$214,0),"err")))))</f>
        <v>0</v>
      </c>
      <c r="AF214" s="46">
        <f>IF($B$210,,IF($I$214="nca",IF($Z$214&lt;0,0,ABS($Z$214)),IF($I$214="ncb",0,IF($I$214="atb",IF($Z$214&lt;=0,0,$Z$214),IF($I$214="bta",IF($Z$214&lt;=0,0,$AD$214+$Z$214),"err")))))</f>
        <v>0</v>
      </c>
      <c r="AG214" s="46" t="b">
        <f>IF(SUM(COUNTIFS($AF$214,"&lt;&gt;0",$AF$214,"&lt;&gt;"),COUNTIFS($AC$214,"&lt;&gt;0",$AC$214,"&lt;&gt;"),COUNTIFS($AD$214,"&lt;&gt;0",$AD$214,"&lt;&gt;"),COUNTIFS($AE$214,"&lt;&gt;0",$AE$214,"&lt;&gt;"))=2,TRUE,FALSE)</f>
        <v>0</v>
      </c>
      <c r="AH214" s="46" t="e">
        <f>IF($B$210,NA(),IF($Z$214=0,NA(),IF($AG$214,SUM($AC$214,$AF$214,$AD$214,$AE$214)/2,IF(OR($AF$214&lt;&gt;0,$AD$214&lt;&gt;0),$D$213+$AB$214,$D$213-$AA$214)+$Z$214/2)))</f>
        <v>#N/A</v>
      </c>
    </row>
    <row r="215" spans="1:34">
      <c r="A215" s="46"/>
      <c r="B215" s="46"/>
      <c r="C215" s="46" t="e">
        <f>#REF!</f>
        <v>#REF!</v>
      </c>
      <c r="D215" s="46" t="e">
        <f>SUM($D$214,$C$215)</f>
        <v>#REF!</v>
      </c>
      <c r="E215" s="46" t="e">
        <f>$D$214&gt;=0</f>
        <v>#REF!</v>
      </c>
      <c r="F215" s="46" t="e">
        <f>IF($B$210,AND($D$214&lt;=0,SUM($D$214,$C$215)&gt; 0),AND($D$214&lt;=0,SUM($D$214,$R$215)&gt; 0))</f>
        <v>#REF!</v>
      </c>
      <c r="G215" s="46" t="e">
        <f>IF($B$210,AND($D$214&gt;=0,SUM($D$214,$C$215)&lt; 0),AND($D$214&gt;=0,SUM($D$214,$Q$215)&lt; 0))</f>
        <v>#REF!</v>
      </c>
      <c r="H215" s="46" t="e">
        <f>OR($G$215,$F$215)</f>
        <v>#REF!</v>
      </c>
      <c r="I215" s="46" t="e">
        <f>IF($H$215,IF($G$215,"atb","bta"),IF($E$215,"nca","ncb"))</f>
        <v>#REF!</v>
      </c>
      <c r="J215" s="46" t="e">
        <f>IF($H$215,0,IF($B$210,IF($E$215,IF($C$215&gt;=0,$D$214,$D$214+$C$215),IF($C$215&gt;=0,$D$214+$C$215,$D$214)),IF($E$215,SUM($D$214,$Q$215),SUM($D$214,$R$215))))</f>
        <v>#REF!</v>
      </c>
      <c r="K215" s="46"/>
      <c r="L215" s="46"/>
      <c r="M215" s="46" t="e">
        <f>IF(COUNTIF(#REF!, "= 0")+ COUNTBLANK(#REF!) = 1,NA(),IF($B$210,NA(),IF($C$215&gt;=0,SUM($D$214,$R$215),NA())))</f>
        <v>#REF!</v>
      </c>
      <c r="N215" s="46" t="e">
        <f>IF(COUNTIF(#REF!, "= 0")+ COUNTBLANK(#REF!) = 1,NA(),IF($B$210,NA(),IF($C$215&gt;=0,NA(),SUM($D$214,$Q$215))))</f>
        <v>#REF!</v>
      </c>
      <c r="O215" s="46" t="e">
        <f>$C$215</f>
        <v>#REF!</v>
      </c>
      <c r="P215" s="46" t="e">
        <f>$C$215</f>
        <v>#REF!</v>
      </c>
      <c r="Q215" s="46">
        <f>SUMIF($Z$215:$Z$215,"&lt;0")</f>
        <v>0</v>
      </c>
      <c r="R215" s="46">
        <f>SUMIF($Z$215:$Z$215,"&gt;0")</f>
        <v>0</v>
      </c>
      <c r="S215" s="46" t="e">
        <f>IF($B$210,IF($I$215="nca",IF($C$215&gt;=0,0,ABS($C$215)),IF($I$215="ncb",0,IF($I$215="atb",IF($C$215&gt;=0,0,IF($D$214&lt;0,0,IF(ABS($C$215)&gt;$D$214,$D$214,ABS($C$215)))),IF($I$215="bta",0,"err")))),)</f>
        <v>#REF!</v>
      </c>
      <c r="T215" s="46" t="e">
        <f>IF($B$210,IF($I$215="nca",IF($C$215&lt;0,0,ABS($C$215)),IF($I$215="ncb",0,IF($I$215="atb",IF($C$215&lt;=0,0,$C$215),IF($I$215="bta",IF($C$215&lt;=0,0,$V$215+$C$215),"err")))),)</f>
        <v>#REF!</v>
      </c>
      <c r="U215" s="46" t="e">
        <f>IF($B$210,IF($I$215="nca",0,IF($I$215="ncb",IF($C$215&lt;=0,-ABS($C$215),0),IF($I$215="atb",IF($C$215&lt;0,$C$215+$S$215,0),IF($I$215="bta",IF($C$215&lt;=0,$C$215,0),"err")))),)</f>
        <v>#REF!</v>
      </c>
      <c r="V215" s="46" t="e">
        <f>IF($B$210,IF($I$215="nca",0,IF($I$215="ncb",IF($C$215&gt;=0,-ABS($C$215),0),IF($I$215="atb",0,IF($I$215="bta",IF($C$215&lt;=0,0,IF($D$214&gt;0,0,IF(ABS($C$215)&lt;ABS($D$214),-ABS($C$215),$D$214))),"err")))),)</f>
        <v>#REF!</v>
      </c>
      <c r="W215" s="46" t="e">
        <f>IF($C$215&gt;=0,IF($B$210,IF($C$215=0,NA(),$D$215),NA()),NA())</f>
        <v>#REF!</v>
      </c>
      <c r="X215" s="46" t="e">
        <f>IF($C$215&lt;0,IF($B$210,IF($C$215=0,NA(),$D$215),NA()),NA())</f>
        <v>#REF!</v>
      </c>
      <c r="Y215" s="46" t="e">
        <f>$D$211</f>
        <v>#REF!</v>
      </c>
      <c r="Z215" s="46" t="e">
        <f>#REF!</f>
        <v>#REF!</v>
      </c>
      <c r="AA215" s="46">
        <v>0</v>
      </c>
      <c r="AB215" s="46">
        <v>0</v>
      </c>
      <c r="AC215" s="46">
        <f>IF($B$210,,IF($I$215="nca",IF($Z$215&gt;=0,0,ABS($Z$215)),IF($I$215="ncb",0,IF($I$215="atb",IF($Z$215&gt;=0,0,IF($D$214-$AA$215&lt;0,0,IF(ABS($Z$215)&gt;$D$214-$AA$215,$D$214-$AA$215,ABS($Z$215)))),IF($I$215="bta",0,"err")))))</f>
        <v>0</v>
      </c>
      <c r="AD215" s="46">
        <f>IF($B$210,,IF($I$215="nca",0,IF($I$215="ncb",IF($Z$215&gt;=0,-ABS($Z$215),0),IF($I$215="atb",0,IF($I$215="bta",IF($Z$215&lt;=0,0,IF($D$214+$AB$215&gt;0,0,IF(ABS($Z$215)&lt;ABS($D$214+$AB$215),-ABS($Z$215),$D$214+$AB$215))),"err")))))</f>
        <v>0</v>
      </c>
      <c r="AE215" s="46">
        <f>IF($B$210,,IF($I$215="nca",0,IF($I$215="ncb",IF($Z$215&lt;=0,-ABS($Z$215),0),IF($I$215="atb",IF($Z$215&lt;0,$Z$215+$AC$215,0),IF($I$215="bta",IF($Z$215&lt;=0,$Z$215,0),"err")))))</f>
        <v>0</v>
      </c>
      <c r="AF215" s="46">
        <f>IF($B$210,,IF($I$215="nca",IF($Z$215&lt;0,0,ABS($Z$215)),IF($I$215="ncb",0,IF($I$215="atb",IF($Z$215&lt;=0,0,$Z$215),IF($I$215="bta",IF($Z$215&lt;=0,0,$AD$215+$Z$215),"err")))))</f>
        <v>0</v>
      </c>
      <c r="AG215" s="46" t="b">
        <f>IF(SUM(COUNTIFS($AF$215,"&lt;&gt;0",$AF$215,"&lt;&gt;"),COUNTIFS($AC$215,"&lt;&gt;0",$AC$215,"&lt;&gt;"),COUNTIFS($AD$215,"&lt;&gt;0",$AD$215,"&lt;&gt;"),COUNTIFS($AE$215,"&lt;&gt;0",$AE$215,"&lt;&gt;"))=2,TRUE,FALSE)</f>
        <v>0</v>
      </c>
      <c r="AH215" s="46" t="e">
        <f>IF($B$210,NA(),IF($Z$215=0,NA(),IF($AG$215,SUM($AC$215,$AF$215,$AD$215,$AE$215)/2,IF(OR($AF$215&lt;&gt;0,$AD$215&lt;&gt;0),$D$214+$AB$215,$D$214-$AA$215)+$Z$215/2)))</f>
        <v>#N/A</v>
      </c>
    </row>
    <row r="216" spans="1:34">
      <c r="A216" s="46"/>
      <c r="B216" s="46"/>
      <c r="C216" s="46" t="e">
        <f>#REF!</f>
        <v>#REF!</v>
      </c>
      <c r="D216" s="46" t="e">
        <f>SUM($D$215,$C$216)</f>
        <v>#REF!</v>
      </c>
      <c r="E216" s="46" t="e">
        <f>$D$215&gt;=0</f>
        <v>#REF!</v>
      </c>
      <c r="F216" s="46" t="e">
        <f>IF($B$210,AND($D$215&lt;=0,SUM($D$215,$C$216)&gt; 0),AND($D$215&lt;=0,SUM($D$215,$R$216)&gt; 0))</f>
        <v>#REF!</v>
      </c>
      <c r="G216" s="46" t="e">
        <f>IF($B$210,AND($D$215&gt;=0,SUM($D$215,$C$216)&lt; 0),AND($D$215&gt;=0,SUM($D$215,$Q$216)&lt; 0))</f>
        <v>#REF!</v>
      </c>
      <c r="H216" s="46" t="e">
        <f>OR($G$216,$F$216)</f>
        <v>#REF!</v>
      </c>
      <c r="I216" s="46" t="e">
        <f>IF($H$216,IF($G$216,"atb","bta"),IF($E$216,"nca","ncb"))</f>
        <v>#REF!</v>
      </c>
      <c r="J216" s="46" t="e">
        <f>IF($H$216,0,IF($B$210,IF($E$216,IF($C$216&gt;=0,$D$215,$D$215+$C$216),IF($C$216&gt;=0,$D$215+$C$216,$D$215)),IF($E$216,SUM($D$215,$Q$216),SUM($D$215,$R$216))))</f>
        <v>#REF!</v>
      </c>
      <c r="K216" s="46"/>
      <c r="L216" s="46"/>
      <c r="M216" s="46" t="e">
        <f>IF(COUNTIF(#REF!, "= 0")+ COUNTBLANK(#REF!) = 1,NA(),IF($B$210,NA(),IF($C$216&gt;=0,SUM($D$215,$R$216),NA())))</f>
        <v>#REF!</v>
      </c>
      <c r="N216" s="46" t="e">
        <f>IF(COUNTIF(#REF!, "= 0")+ COUNTBLANK(#REF!) = 1,NA(),IF($B$210,NA(),IF($C$216&gt;=0,NA(),SUM($D$215,$Q$216))))</f>
        <v>#REF!</v>
      </c>
      <c r="O216" s="46" t="e">
        <f>$C$216</f>
        <v>#REF!</v>
      </c>
      <c r="P216" s="46" t="e">
        <f>$C$216</f>
        <v>#REF!</v>
      </c>
      <c r="Q216" s="46">
        <f>SUMIF($Z$216:$Z$216,"&lt;0")</f>
        <v>0</v>
      </c>
      <c r="R216" s="46">
        <f>SUMIF($Z$216:$Z$216,"&gt;0")</f>
        <v>0</v>
      </c>
      <c r="S216" s="46" t="e">
        <f>IF($B$210,IF($I$216="nca",IF($C$216&gt;=0,0,ABS($C$216)),IF($I$216="ncb",0,IF($I$216="atb",IF($C$216&gt;=0,0,IF($D$215&lt;0,0,IF(ABS($C$216)&gt;$D$215,$D$215,ABS($C$216)))),IF($I$216="bta",0,"err")))),)</f>
        <v>#REF!</v>
      </c>
      <c r="T216" s="46" t="e">
        <f>IF($B$210,IF($I$216="nca",IF($C$216&lt;0,0,ABS($C$216)),IF($I$216="ncb",0,IF($I$216="atb",IF($C$216&lt;=0,0,$C$216),IF($I$216="bta",IF($C$216&lt;=0,0,$V$216+$C$216),"err")))),)</f>
        <v>#REF!</v>
      </c>
      <c r="U216" s="46" t="e">
        <f>IF($B$210,IF($I$216="nca",0,IF($I$216="ncb",IF($C$216&lt;=0,-ABS($C$216),0),IF($I$216="atb",IF($C$216&lt;0,$C$216+$S$216,0),IF($I$216="bta",IF($C$216&lt;=0,$C$216,0),"err")))),)</f>
        <v>#REF!</v>
      </c>
      <c r="V216" s="46" t="e">
        <f>IF($B$210,IF($I$216="nca",0,IF($I$216="ncb",IF($C$216&gt;=0,-ABS($C$216),0),IF($I$216="atb",0,IF($I$216="bta",IF($C$216&lt;=0,0,IF($D$215&gt;0,0,IF(ABS($C$216)&lt;ABS($D$215),-ABS($C$216),$D$215))),"err")))),)</f>
        <v>#REF!</v>
      </c>
      <c r="W216" s="46" t="e">
        <f>IF($C$216&gt;=0,IF($B$210,IF($C$216=0,NA(),$D$216),NA()),NA())</f>
        <v>#REF!</v>
      </c>
      <c r="X216" s="46" t="e">
        <f>IF($C$216&lt;0,IF($B$210,IF($C$216=0,NA(),$D$216),NA()),NA())</f>
        <v>#REF!</v>
      </c>
      <c r="Y216" s="46" t="e">
        <f>$D$211</f>
        <v>#REF!</v>
      </c>
      <c r="Z216" s="46" t="e">
        <f>#REF!</f>
        <v>#REF!</v>
      </c>
      <c r="AA216" s="46">
        <v>0</v>
      </c>
      <c r="AB216" s="46">
        <v>0</v>
      </c>
      <c r="AC216" s="46">
        <f>IF($B$210,,IF($I$216="nca",IF($Z$216&gt;=0,0,ABS($Z$216)),IF($I$216="ncb",0,IF($I$216="atb",IF($Z$216&gt;=0,0,IF($D$215-$AA$216&lt;0,0,IF(ABS($Z$216)&gt;$D$215-$AA$216,$D$215-$AA$216,ABS($Z$216)))),IF($I$216="bta",0,"err")))))</f>
        <v>0</v>
      </c>
      <c r="AD216" s="46">
        <f>IF($B$210,,IF($I$216="nca",0,IF($I$216="ncb",IF($Z$216&gt;=0,-ABS($Z$216),0),IF($I$216="atb",0,IF($I$216="bta",IF($Z$216&lt;=0,0,IF($D$215+$AB$216&gt;0,0,IF(ABS($Z$216)&lt;ABS($D$215+$AB$216),-ABS($Z$216),$D$215+$AB$216))),"err")))))</f>
        <v>0</v>
      </c>
      <c r="AE216" s="46">
        <f>IF($B$210,,IF($I$216="nca",0,IF($I$216="ncb",IF($Z$216&lt;=0,-ABS($Z$216),0),IF($I$216="atb",IF($Z$216&lt;0,$Z$216+$AC$216,0),IF($I$216="bta",IF($Z$216&lt;=0,$Z$216,0),"err")))))</f>
        <v>0</v>
      </c>
      <c r="AF216" s="46">
        <f>IF($B$210,,IF($I$216="nca",IF($Z$216&lt;0,0,ABS($Z$216)),IF($I$216="ncb",0,IF($I$216="atb",IF($Z$216&lt;=0,0,$Z$216),IF($I$216="bta",IF($Z$216&lt;=0,0,$AD$216+$Z$216),"err")))))</f>
        <v>0</v>
      </c>
      <c r="AG216" s="46" t="b">
        <f>IF(SUM(COUNTIFS($AF$216,"&lt;&gt;0",$AF$216,"&lt;&gt;"),COUNTIFS($AC$216,"&lt;&gt;0",$AC$216,"&lt;&gt;"),COUNTIFS($AD$216,"&lt;&gt;0",$AD$216,"&lt;&gt;"),COUNTIFS($AE$216,"&lt;&gt;0",$AE$216,"&lt;&gt;"))=2,TRUE,FALSE)</f>
        <v>0</v>
      </c>
      <c r="AH216" s="46" t="e">
        <f>IF($B$210,NA(),IF($Z$216=0,NA(),IF($AG$216,SUM($AC$216,$AF$216,$AD$216,$AE$216)/2,IF(OR($AF$216&lt;&gt;0,$AD$216&lt;&gt;0),$D$215+$AB$216,$D$215-$AA$216)+$Z$216/2)))</f>
        <v>#N/A</v>
      </c>
    </row>
    <row r="217" spans="1:34">
      <c r="A217" s="46"/>
      <c r="B217" s="46"/>
      <c r="C217" s="46" t="e">
        <f>#REF!</f>
        <v>#REF!</v>
      </c>
      <c r="D217" s="46" t="e">
        <f>SUM($D$216,$C$217)</f>
        <v>#REF!</v>
      </c>
      <c r="E217" s="46" t="e">
        <f>$D$216&gt;=0</f>
        <v>#REF!</v>
      </c>
      <c r="F217" s="46" t="e">
        <f>IF($B$210,AND($D$216&lt;=0,SUM($D$216,$C$217)&gt; 0),AND($D$216&lt;=0,SUM($D$216,$R$217)&gt; 0))</f>
        <v>#REF!</v>
      </c>
      <c r="G217" s="46" t="e">
        <f>IF($B$210,AND($D$216&gt;=0,SUM($D$216,$C$217)&lt; 0),AND($D$216&gt;=0,SUM($D$216,$Q$217)&lt; 0))</f>
        <v>#REF!</v>
      </c>
      <c r="H217" s="46" t="e">
        <f>OR($G$217,$F$217)</f>
        <v>#REF!</v>
      </c>
      <c r="I217" s="46" t="e">
        <f>IF($H$217,IF($G$217,"atb","bta"),IF($E$217,"nca","ncb"))</f>
        <v>#REF!</v>
      </c>
      <c r="J217" s="46" t="e">
        <f>IF($H$217,0,IF($B$210,IF($E$217,IF($C$217&gt;=0,$D$216,$D$216+$C$217),IF($C$217&gt;=0,$D$216+$C$217,$D$216)),IF($E$217,SUM($D$216,$Q$217),SUM($D$216,$R$217))))</f>
        <v>#REF!</v>
      </c>
      <c r="K217" s="46"/>
      <c r="L217" s="46"/>
      <c r="M217" s="46" t="e">
        <f>IF(COUNTIF(#REF!, "= 0")+ COUNTBLANK(#REF!) = 1,NA(),IF($B$210,NA(),IF($C$217&gt;=0,SUM($D$216,$R$217),NA())))</f>
        <v>#REF!</v>
      </c>
      <c r="N217" s="46" t="e">
        <f>IF(COUNTIF(#REF!, "= 0")+ COUNTBLANK(#REF!) = 1,NA(),IF($B$210,NA(),IF($C$217&gt;=0,NA(),SUM($D$216,$Q$217))))</f>
        <v>#REF!</v>
      </c>
      <c r="O217" s="46" t="e">
        <f>$C$217</f>
        <v>#REF!</v>
      </c>
      <c r="P217" s="46" t="e">
        <f>$C$217</f>
        <v>#REF!</v>
      </c>
      <c r="Q217" s="46">
        <f>SUMIF($Z$217:$Z$217,"&lt;0")</f>
        <v>0</v>
      </c>
      <c r="R217" s="46">
        <f>SUMIF($Z$217:$Z$217,"&gt;0")</f>
        <v>0</v>
      </c>
      <c r="S217" s="46" t="e">
        <f>IF($B$210,IF($I$217="nca",IF($C$217&gt;=0,0,ABS($C$217)),IF($I$217="ncb",0,IF($I$217="atb",IF($C$217&gt;=0,0,IF($D$216&lt;0,0,IF(ABS($C$217)&gt;$D$216,$D$216,ABS($C$217)))),IF($I$217="bta",0,"err")))),)</f>
        <v>#REF!</v>
      </c>
      <c r="T217" s="46" t="e">
        <f>IF($B$210,IF($I$217="nca",IF($C$217&lt;0,0,ABS($C$217)),IF($I$217="ncb",0,IF($I$217="atb",IF($C$217&lt;=0,0,$C$217),IF($I$217="bta",IF($C$217&lt;=0,0,$V$217+$C$217),"err")))),)</f>
        <v>#REF!</v>
      </c>
      <c r="U217" s="46" t="e">
        <f>IF($B$210,IF($I$217="nca",0,IF($I$217="ncb",IF($C$217&lt;=0,-ABS($C$217),0),IF($I$217="atb",IF($C$217&lt;0,$C$217+$S$217,0),IF($I$217="bta",IF($C$217&lt;=0,$C$217,0),"err")))),)</f>
        <v>#REF!</v>
      </c>
      <c r="V217" s="46" t="e">
        <f>IF($B$210,IF($I$217="nca",0,IF($I$217="ncb",IF($C$217&gt;=0,-ABS($C$217),0),IF($I$217="atb",0,IF($I$217="bta",IF($C$217&lt;=0,0,IF($D$216&gt;0,0,IF(ABS($C$217)&lt;ABS($D$216),-ABS($C$217),$D$216))),"err")))),)</f>
        <v>#REF!</v>
      </c>
      <c r="W217" s="46" t="e">
        <f>IF($C$217&gt;=0,IF($B$210,IF($C$217=0,NA(),$D$217),NA()),NA())</f>
        <v>#REF!</v>
      </c>
      <c r="X217" s="46" t="e">
        <f>IF($C$217&lt;0,IF($B$210,IF($C$217=0,NA(),$D$217),NA()),NA())</f>
        <v>#REF!</v>
      </c>
      <c r="Y217" s="46" t="e">
        <f>IF(IF($B$210,$C$212 = 0,COUNTIF(#REF!, "= 0")+ COUNTBLANK(#REF!) = 1),$Y$216,NA())</f>
        <v>#REF!</v>
      </c>
      <c r="Z217" s="46" t="e">
        <f>#REF!</f>
        <v>#REF!</v>
      </c>
      <c r="AA217" s="46">
        <v>0</v>
      </c>
      <c r="AB217" s="46">
        <v>0</v>
      </c>
      <c r="AC217" s="46">
        <f>IF($B$210,,IF($I$217="nca",IF($Z$217&gt;=0,0,ABS($Z$217)),IF($I$217="ncb",0,IF($I$217="atb",IF($Z$217&gt;=0,0,IF($D$216-$AA$217&lt;0,0,IF(ABS($Z$217)&gt;$D$216-$AA$217,$D$216-$AA$217,ABS($Z$217)))),IF($I$217="bta",0,"err")))))</f>
        <v>0</v>
      </c>
      <c r="AD217" s="46">
        <f>IF($B$210,,IF($I$217="nca",0,IF($I$217="ncb",IF($Z$217&gt;=0,-ABS($Z$217),0),IF($I$217="atb",0,IF($I$217="bta",IF($Z$217&lt;=0,0,IF($D$216+$AB$217&gt;0,0,IF(ABS($Z$217)&lt;ABS($D$216+$AB$217),-ABS($Z$217),$D$216+$AB$217))),"err")))))</f>
        <v>0</v>
      </c>
      <c r="AE217" s="46">
        <f>IF($B$210,,IF($I$217="nca",0,IF($I$217="ncb",IF($Z$217&lt;=0,-ABS($Z$217),0),IF($I$217="atb",IF($Z$217&lt;0,$Z$217+$AC$217,0),IF($I$217="bta",IF($Z$217&lt;=0,$Z$217,0),"err")))))</f>
        <v>0</v>
      </c>
      <c r="AF217" s="46">
        <f>IF($B$210,,IF($I$217="nca",IF($Z$217&lt;0,0,ABS($Z$217)),IF($I$217="ncb",0,IF($I$217="atb",IF($Z$217&lt;=0,0,$Z$217),IF($I$217="bta",IF($Z$217&lt;=0,0,$AD$217+$Z$217),"err")))))</f>
        <v>0</v>
      </c>
      <c r="AG217" s="46" t="b">
        <f>IF(SUM(COUNTIFS($AF$217,"&lt;&gt;0",$AF$217,"&lt;&gt;"),COUNTIFS($AC$217,"&lt;&gt;0",$AC$217,"&lt;&gt;"),COUNTIFS($AD$217,"&lt;&gt;0",$AD$217,"&lt;&gt;"),COUNTIFS($AE$217,"&lt;&gt;0",$AE$217,"&lt;&gt;"))=2,TRUE,FALSE)</f>
        <v>0</v>
      </c>
      <c r="AH217" s="46" t="e">
        <f>IF($B$210,NA(),IF($Z$217=0,NA(),IF($AG$217,SUM($AC$217,$AF$217,$AD$217,$AE$217)/2,IF(OR($AF$217&lt;&gt;0,$AD$217&lt;&gt;0),$D$216+$AB$217,$D$216-$AA$217)+$Z$217/2)))</f>
        <v>#N/A</v>
      </c>
    </row>
    <row r="218" spans="1:34">
      <c r="A218" s="46"/>
      <c r="B218" s="46"/>
      <c r="C218" s="46" t="e">
        <f>#REF!</f>
        <v>#REF!</v>
      </c>
      <c r="D218" s="46" t="e">
        <f>SUM($D$217,$C$218)</f>
        <v>#REF!</v>
      </c>
      <c r="E218" s="46" t="e">
        <f>$D$217&gt;=0</f>
        <v>#REF!</v>
      </c>
      <c r="F218" s="46" t="e">
        <f>IF($B$210,AND($D$217&lt;=0,SUM($D$217,$C$218)&gt; 0),AND($D$217&lt;=0,SUM($D$217,$R$218)&gt; 0))</f>
        <v>#REF!</v>
      </c>
      <c r="G218" s="46" t="e">
        <f>IF($B$210,AND($D$217&gt;=0,SUM($D$217,$C$218)&lt; 0),AND($D$217&gt;=0,SUM($D$217,$Q$218)&lt; 0))</f>
        <v>#REF!</v>
      </c>
      <c r="H218" s="46" t="e">
        <f>OR($G$218,$F$218)</f>
        <v>#REF!</v>
      </c>
      <c r="I218" s="46" t="e">
        <f>IF($H$218,IF($G$218,"atb","bta"),IF($E$218,"nca","ncb"))</f>
        <v>#REF!</v>
      </c>
      <c r="J218" s="46" t="e">
        <f>IF($H$218,0,IF($B$210,IF($E$218,IF($C$218&gt;=0,$D$217,$D$217+$C$218),IF($C$218&gt;=0,$D$217+$C$218,$D$217)),IF($E$218,SUM($D$217,$Q$218),SUM($D$217,$R$218))))</f>
        <v>#REF!</v>
      </c>
      <c r="K218" s="46"/>
      <c r="L218" s="46"/>
      <c r="M218" s="46" t="e">
        <f>IF(COUNTIF(#REF!, "= 0")+ COUNTBLANK(#REF!) = 1,NA(),IF($B$210,NA(),IF($C$218&gt;=0,SUM($D$217,$R$218),NA())))</f>
        <v>#REF!</v>
      </c>
      <c r="N218" s="46" t="e">
        <f>IF(COUNTIF(#REF!, "= 0")+ COUNTBLANK(#REF!) = 1,NA(),IF($B$210,NA(),IF($C$218&gt;=0,NA(),SUM($D$217,$Q$218))))</f>
        <v>#REF!</v>
      </c>
      <c r="O218" s="46" t="e">
        <f>$C$218</f>
        <v>#REF!</v>
      </c>
      <c r="P218" s="46" t="e">
        <f>$C$218</f>
        <v>#REF!</v>
      </c>
      <c r="Q218" s="46">
        <f>SUMIF($Z$218:$Z$218,"&lt;0")</f>
        <v>0</v>
      </c>
      <c r="R218" s="46">
        <f>SUMIF($Z$218:$Z$218,"&gt;0")</f>
        <v>0</v>
      </c>
      <c r="S218" s="46" t="e">
        <f>IF($B$210,IF($I$218="nca",IF($C$218&gt;=0,0,ABS($C$218)),IF($I$218="ncb",0,IF($I$218="atb",IF($C$218&gt;=0,0,IF($D$217&lt;0,0,IF(ABS($C$218)&gt;$D$217,$D$217,ABS($C$218)))),IF($I$218="bta",0,"err")))),)</f>
        <v>#REF!</v>
      </c>
      <c r="T218" s="46" t="e">
        <f>IF($B$210,IF($I$218="nca",IF($C$218&lt;0,0,ABS($C$218)),IF($I$218="ncb",0,IF($I$218="atb",IF($C$218&lt;=0,0,$C$218),IF($I$218="bta",IF($C$218&lt;=0,0,$V$218+$C$218),"err")))),)</f>
        <v>#REF!</v>
      </c>
      <c r="U218" s="46" t="e">
        <f>IF($B$210,IF($I$218="nca",0,IF($I$218="ncb",IF($C$218&lt;=0,-ABS($C$218),0),IF($I$218="atb",IF($C$218&lt;0,$C$218+$S$218,0),IF($I$218="bta",IF($C$218&lt;=0,$C$218,0),"err")))),)</f>
        <v>#REF!</v>
      </c>
      <c r="V218" s="46" t="e">
        <f>IF($B$210,IF($I$218="nca",0,IF($I$218="ncb",IF($C$218&gt;=0,-ABS($C$218),0),IF($I$218="atb",0,IF($I$218="bta",IF($C$218&lt;=0,0,IF($D$217&gt;0,0,IF(ABS($C$218)&lt;ABS($D$217),-ABS($C$218),$D$217))),"err")))),)</f>
        <v>#REF!</v>
      </c>
      <c r="W218" s="46" t="e">
        <f>IF($C$218&gt;=0,IF($B$210,IF($C$218=0,NA(),$D$218),NA()),NA())</f>
        <v>#REF!</v>
      </c>
      <c r="X218" s="46" t="e">
        <f>IF($C$218&lt;0,IF($B$210,IF($C$218=0,NA(),$D$218),NA()),NA())</f>
        <v>#REF!</v>
      </c>
      <c r="Y218" s="46" t="e">
        <f>$D$212</f>
        <v>#REF!</v>
      </c>
      <c r="Z218" s="46" t="e">
        <f>#REF!</f>
        <v>#REF!</v>
      </c>
      <c r="AA218" s="46">
        <v>0</v>
      </c>
      <c r="AB218" s="46">
        <v>0</v>
      </c>
      <c r="AC218" s="46">
        <f>IF($B$210,,IF($I$218="nca",IF($Z$218&gt;=0,0,ABS($Z$218)),IF($I$218="ncb",0,IF($I$218="atb",IF($Z$218&gt;=0,0,IF($D$217-$AA$218&lt;0,0,IF(ABS($Z$218)&gt;$D$217-$AA$218,$D$217-$AA$218,ABS($Z$218)))),IF($I$218="bta",0,"err")))))</f>
        <v>0</v>
      </c>
      <c r="AD218" s="46">
        <f>IF($B$210,,IF($I$218="nca",0,IF($I$218="ncb",IF($Z$218&gt;=0,-ABS($Z$218),0),IF($I$218="atb",0,IF($I$218="bta",IF($Z$218&lt;=0,0,IF($D$217+$AB$218&gt;0,0,IF(ABS($Z$218)&lt;ABS($D$217+$AB$218),-ABS($Z$218),$D$217+$AB$218))),"err")))))</f>
        <v>0</v>
      </c>
      <c r="AE218" s="46">
        <f>IF($B$210,,IF($I$218="nca",0,IF($I$218="ncb",IF($Z$218&lt;=0,-ABS($Z$218),0),IF($I$218="atb",IF($Z$218&lt;0,$Z$218+$AC$218,0),IF($I$218="bta",IF($Z$218&lt;=0,$Z$218,0),"err")))))</f>
        <v>0</v>
      </c>
      <c r="AF218" s="46">
        <f>IF($B$210,,IF($I$218="nca",IF($Z$218&lt;0,0,ABS($Z$218)),IF($I$218="ncb",0,IF($I$218="atb",IF($Z$218&lt;=0,0,$Z$218),IF($I$218="bta",IF($Z$218&lt;=0,0,$AD$218+$Z$218),"err")))))</f>
        <v>0</v>
      </c>
      <c r="AG218" s="46" t="b">
        <f>IF(SUM(COUNTIFS($AF$218,"&lt;&gt;0",$AF$218,"&lt;&gt;"),COUNTIFS($AC$218,"&lt;&gt;0",$AC$218,"&lt;&gt;"),COUNTIFS($AD$218,"&lt;&gt;0",$AD$218,"&lt;&gt;"),COUNTIFS($AE$218,"&lt;&gt;0",$AE$218,"&lt;&gt;"))=2,TRUE,FALSE)</f>
        <v>0</v>
      </c>
      <c r="AH218" s="46" t="e">
        <f>IF($B$210,NA(),IF($Z$218=0,NA(),IF($AG$218,SUM($AC$218,$AF$218,$AD$218,$AE$218)/2,IF(OR($AF$218&lt;&gt;0,$AD$218&lt;&gt;0),$D$217+$AB$218,$D$217-$AA$218)+$Z$218/2)))</f>
        <v>#N/A</v>
      </c>
    </row>
    <row r="219" spans="1:34">
      <c r="A219" s="46"/>
      <c r="B219" s="46"/>
      <c r="C219" s="46" t="e">
        <f>#REF!</f>
        <v>#REF!</v>
      </c>
      <c r="D219" s="46" t="e">
        <f>$C$219</f>
        <v>#REF!</v>
      </c>
      <c r="E219" s="46"/>
      <c r="F219" s="46"/>
      <c r="G219" s="46"/>
      <c r="H219" s="46"/>
      <c r="I219" s="46"/>
      <c r="J219" s="46"/>
      <c r="K219" s="46" t="e">
        <f>IF(COUNTIF(#REF!, "= 0")+ COUNTBLANK(#REF!) = 1,NA(),IF($B$209,$D$219,NA()))</f>
        <v>#REF!</v>
      </c>
      <c r="L219" s="46" t="e">
        <f>$D$219</f>
        <v>#REF!</v>
      </c>
      <c r="M219" s="46" t="e">
        <f>IF(COUNTIF(#REF!, "= 0")+ COUNTBLANK(#REF!) = 1,NA(),IF($B$209,NA(),IF($C$219&gt;= 0,$R$219,NA())))</f>
        <v>#REF!</v>
      </c>
      <c r="N219" s="46" t="e">
        <f>IF(COUNTIF(#REF!, "= 0")+ COUNTBLANK(#REF!) = 1,NA(),IF($B$209,NA(),IF($C$219&lt;= 0,$Q$219,NA())))</f>
        <v>#REF!</v>
      </c>
      <c r="O219" s="46" t="e">
        <f>$C$219</f>
        <v>#REF!</v>
      </c>
      <c r="P219" s="46" t="e">
        <f>$C$219</f>
        <v>#REF!</v>
      </c>
      <c r="Q219" s="46">
        <f>SUMIF($Z$219:$Z$219,"&lt;0")</f>
        <v>0</v>
      </c>
      <c r="R219" s="46">
        <f>SUMIF($Z$219:$Z$219,"&gt;0")</f>
        <v>0</v>
      </c>
      <c r="S219" s="46"/>
      <c r="T219" s="46"/>
      <c r="U219" s="46"/>
      <c r="V219" s="46"/>
      <c r="W219" s="46"/>
      <c r="X219" s="46"/>
      <c r="Y219" s="46" t="e">
        <f>$D$212</f>
        <v>#REF!</v>
      </c>
      <c r="Z219" s="46" t="e">
        <f>#REF!</f>
        <v>#REF!</v>
      </c>
      <c r="AA219" s="46">
        <v>0</v>
      </c>
      <c r="AB219" s="46">
        <v>0</v>
      </c>
      <c r="AC219" s="46"/>
      <c r="AD219" s="46"/>
      <c r="AE219" s="46">
        <f>IF($B$209,,IF($Z$219 &lt; 0,$Z$219,))</f>
        <v>0</v>
      </c>
      <c r="AF219" s="46">
        <f>IF($B$209,,IF($Z$219 &gt; 0,$Z$219,))</f>
        <v>0</v>
      </c>
      <c r="AG219" s="46"/>
      <c r="AH219" s="46" t="e">
        <f>IF($B$209,NA(),IF($Z$219 = 0,NA(),IF($Z$219 &gt; 0,$AB$219 + $Z$219/2,-$AA$219 + $Z$219/2)))</f>
        <v>#N/A</v>
      </c>
    </row>
    <row r="220" spans="1:34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 t="e">
        <f>IF(IF($B$210,$C$213 = 0,COUNTIF(#REF!, "= 0")+ COUNTBLANK(#REF!) = 1),$Y$219,NA())</f>
        <v>#REF!</v>
      </c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 t="e">
        <f>$D$213</f>
        <v>#REF!</v>
      </c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 t="e">
        <f>$D$213</f>
        <v>#REF!</v>
      </c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 t="e">
        <f>IF(IF($B$210,$C$214 = 0,COUNTIF(#REF!, "= 0")+ COUNTBLANK(#REF!) = 1),$Y$222,NA())</f>
        <v>#REF!</v>
      </c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 t="e">
        <f>$D$214</f>
        <v>#REF!</v>
      </c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1:34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 t="e">
        <f>$D$214</f>
        <v>#REF!</v>
      </c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 t="e">
        <f>IF(IF($B$210,$C$215 = 0,COUNTIF(#REF!, "= 0")+ COUNTBLANK(#REF!) = 1),$Y$225,NA())</f>
        <v>#REF!</v>
      </c>
      <c r="Z226" s="46"/>
      <c r="AA226" s="46"/>
      <c r="AB226" s="46"/>
      <c r="AC226" s="46"/>
      <c r="AD226" s="46"/>
      <c r="AE226" s="46"/>
      <c r="AF226" s="46"/>
      <c r="AG226" s="46"/>
      <c r="AH226" s="46"/>
    </row>
    <row r="227" spans="1:34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 t="e">
        <f>$D$215</f>
        <v>#REF!</v>
      </c>
      <c r="Z227" s="46"/>
      <c r="AA227" s="46"/>
      <c r="AB227" s="46"/>
      <c r="AC227" s="46"/>
      <c r="AD227" s="46"/>
      <c r="AE227" s="46"/>
      <c r="AF227" s="46"/>
      <c r="AG227" s="46"/>
      <c r="AH227" s="46"/>
    </row>
    <row r="228" spans="1:34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 t="e">
        <f>$D$215</f>
        <v>#REF!</v>
      </c>
      <c r="Z228" s="46"/>
      <c r="AA228" s="46"/>
      <c r="AB228" s="46"/>
      <c r="AC228" s="46"/>
      <c r="AD228" s="46"/>
      <c r="AE228" s="46"/>
      <c r="AF228" s="46"/>
      <c r="AG228" s="46"/>
      <c r="AH228" s="46"/>
    </row>
    <row r="229" spans="1:34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 t="e">
        <f>IF(IF($B$210,$C$216 = 0,COUNTIF(#REF!, "= 0")+ COUNTBLANK(#REF!) = 1),$Y$228,NA())</f>
        <v>#REF!</v>
      </c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 t="e">
        <f>$D$216</f>
        <v>#REF!</v>
      </c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 t="e">
        <f>$D$216</f>
        <v>#REF!</v>
      </c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 t="e">
        <f>IF(IF($B$210,$C$217 = 0,COUNTIF(#REF!, "= 0")+ COUNTBLANK(#REF!) = 1),$Y$231,NA())</f>
        <v>#REF!</v>
      </c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 t="e">
        <f>$D$217</f>
        <v>#REF!</v>
      </c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 t="e">
        <f>$D$217</f>
        <v>#REF!</v>
      </c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 t="e">
        <f>IF(IF($B$210,$C$218 = 0,COUNTIF(#REF!, "= 0")+ COUNTBLANK(#REF!) = 1),$Y$234,NA())</f>
        <v>#REF!</v>
      </c>
      <c r="Z235" s="46"/>
      <c r="AA235" s="46"/>
      <c r="AB235" s="46"/>
      <c r="AC235" s="46"/>
      <c r="AD235" s="46"/>
      <c r="AE235" s="46"/>
      <c r="AF235" s="46"/>
      <c r="AG235" s="46"/>
      <c r="AH235" s="46"/>
    </row>
    <row r="236" spans="1:34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 t="e">
        <f>$D$218</f>
        <v>#REF!</v>
      </c>
      <c r="Z236" s="46"/>
      <c r="AA236" s="46"/>
      <c r="AB236" s="46"/>
      <c r="AC236" s="46"/>
      <c r="AD236" s="46"/>
      <c r="AE236" s="46"/>
      <c r="AF236" s="46"/>
      <c r="AG236" s="46"/>
      <c r="AH236" s="46"/>
    </row>
    <row r="237" spans="1:34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 t="e">
        <f>$D$218</f>
        <v>#REF!</v>
      </c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 t="e">
        <f>IF(IF($B$210,$C$219 = 0,COUNTIF(#REF!, "= 0")+ COUNTBLANK(#REF!) = 1),$Y$237,NA())</f>
        <v>#REF!</v>
      </c>
      <c r="Z238" s="46"/>
      <c r="AA238" s="46"/>
      <c r="AB238" s="46"/>
      <c r="AC238" s="46"/>
      <c r="AD238" s="46"/>
      <c r="AE238" s="46"/>
      <c r="AF238" s="46"/>
      <c r="AG238" s="46"/>
      <c r="AH238" s="46"/>
    </row>
    <row r="240" spans="1:34">
      <c r="A240" s="46" t="s">
        <v>93</v>
      </c>
      <c r="B240" s="46" t="s">
        <v>94</v>
      </c>
      <c r="C240" s="46" t="s">
        <v>95</v>
      </c>
      <c r="D240" s="46" t="s">
        <v>96</v>
      </c>
      <c r="E240" s="46" t="s">
        <v>97</v>
      </c>
      <c r="F240" s="46" t="s">
        <v>98</v>
      </c>
      <c r="G240" s="46" t="s">
        <v>99</v>
      </c>
      <c r="H240" s="46" t="s">
        <v>100</v>
      </c>
      <c r="I240" s="46" t="s">
        <v>101</v>
      </c>
      <c r="J240" s="46" t="s">
        <v>102</v>
      </c>
      <c r="K240" s="46" t="s">
        <v>103</v>
      </c>
      <c r="L240" s="46" t="s">
        <v>104</v>
      </c>
      <c r="M240" s="46" t="s">
        <v>105</v>
      </c>
      <c r="N240" s="46" t="s">
        <v>106</v>
      </c>
      <c r="O240" s="46" t="s">
        <v>107</v>
      </c>
      <c r="P240" s="46" t="s">
        <v>108</v>
      </c>
      <c r="Q240" s="46" t="s">
        <v>109</v>
      </c>
      <c r="R240" s="46" t="s">
        <v>110</v>
      </c>
      <c r="S240" s="46" t="s">
        <v>111</v>
      </c>
      <c r="T240" s="46" t="s">
        <v>112</v>
      </c>
      <c r="U240" s="46" t="s">
        <v>113</v>
      </c>
      <c r="V240" s="46" t="s">
        <v>114</v>
      </c>
      <c r="W240" s="46" t="s">
        <v>115</v>
      </c>
      <c r="X240" s="46" t="s">
        <v>116</v>
      </c>
      <c r="Y240" s="46" t="s">
        <v>117</v>
      </c>
      <c r="Z240" s="46" t="s">
        <v>118</v>
      </c>
      <c r="AA240" s="46" t="s">
        <v>119</v>
      </c>
      <c r="AB240" s="46" t="s">
        <v>120</v>
      </c>
      <c r="AC240" s="46" t="s">
        <v>121</v>
      </c>
      <c r="AD240" s="46" t="s">
        <v>122</v>
      </c>
      <c r="AE240" s="46" t="s">
        <v>123</v>
      </c>
      <c r="AF240" s="46" t="s">
        <v>124</v>
      </c>
      <c r="AG240" s="46" t="s">
        <v>125</v>
      </c>
      <c r="AH240" s="46" t="s">
        <v>126</v>
      </c>
    </row>
    <row r="241" spans="1:34">
      <c r="A241" s="46">
        <v>6</v>
      </c>
      <c r="B241" s="46" t="b">
        <v>1</v>
      </c>
      <c r="C241" s="46" t="e">
        <f>#REF!</f>
        <v>#REF!</v>
      </c>
      <c r="D241" s="46" t="e">
        <f>$C$241</f>
        <v>#REF!</v>
      </c>
      <c r="E241" s="46"/>
      <c r="F241" s="46"/>
      <c r="G241" s="46"/>
      <c r="H241" s="46"/>
      <c r="I241" s="46"/>
      <c r="J241" s="46"/>
      <c r="K241" s="46" t="e">
        <f>IF(COUNTIF(#REF!, "= 0")+ COUNTBLANK(#REF!) = 1,NA(),IF($B$241,$D$241,NA()))</f>
        <v>#REF!</v>
      </c>
      <c r="L241" s="46" t="e">
        <f>$D$241</f>
        <v>#REF!</v>
      </c>
      <c r="M241" s="46" t="e">
        <f>IF(COUNTIF(#REF!, "= 0")+ COUNTBLANK(#REF!) = 1,NA(),IF($B$241,NA(),IF($C$241&gt;= 0,$R$241,NA())))</f>
        <v>#REF!</v>
      </c>
      <c r="N241" s="46" t="e">
        <f>IF(COUNTIF(#REF!, "= 0")+ COUNTBLANK(#REF!) = 1,NA(),IF($B$241,NA(),IF($C$241&lt;= 0,$Q$241,NA())))</f>
        <v>#REF!</v>
      </c>
      <c r="O241" s="46" t="e">
        <f>$C$241</f>
        <v>#REF!</v>
      </c>
      <c r="P241" s="46" t="e">
        <f>$C$241</f>
        <v>#REF!</v>
      </c>
      <c r="Q241" s="46">
        <f>SUMIF($Z$241:$Z$241,"&lt;0")</f>
        <v>0</v>
      </c>
      <c r="R241" s="46">
        <f>SUMIF($Z$241:$Z$241,"&gt;0")</f>
        <v>0</v>
      </c>
      <c r="S241" s="46"/>
      <c r="T241" s="46"/>
      <c r="U241" s="46"/>
      <c r="V241" s="46"/>
      <c r="W241" s="46"/>
      <c r="X241" s="46"/>
      <c r="Y241" s="46" t="e">
        <f>$D$241</f>
        <v>#REF!</v>
      </c>
      <c r="Z241" s="46" t="e">
        <f>#REF!</f>
        <v>#REF!</v>
      </c>
      <c r="AA241" s="46">
        <v>0</v>
      </c>
      <c r="AB241" s="46">
        <v>0</v>
      </c>
      <c r="AC241" s="46"/>
      <c r="AD241" s="46"/>
      <c r="AE241" s="46">
        <f>IF($B$241,,IF($Z$241 &lt; 0,$Z$241,))</f>
        <v>0</v>
      </c>
      <c r="AF241" s="46">
        <f>IF($B$241,,IF($Z$241 &gt; 0,$Z$241,))</f>
        <v>0</v>
      </c>
      <c r="AG241" s="46"/>
      <c r="AH241" s="46" t="e">
        <f>IF($B$241,NA(),IF($Z$241 = 0,NA(),IF($Z$241 &gt; 0,$AB$241 + $Z$241/2,-$AA$241 + $Z$241/2)))</f>
        <v>#N/A</v>
      </c>
    </row>
    <row r="242" spans="1:34">
      <c r="A242" s="46"/>
      <c r="B242" s="46" t="b">
        <v>1</v>
      </c>
      <c r="C242" s="46" t="e">
        <f>#REF!</f>
        <v>#REF!</v>
      </c>
      <c r="D242" s="46" t="e">
        <f>SUM($D$241,$C$242)</f>
        <v>#REF!</v>
      </c>
      <c r="E242" s="46" t="e">
        <f>$D$241&gt;=0</f>
        <v>#REF!</v>
      </c>
      <c r="F242" s="46" t="e">
        <f>IF($B$242,AND($D$241&lt;=0,SUM($D$241,$C$242)&gt; 0),AND($D$241&lt;=0,SUM($D$241,$R$242)&gt; 0))</f>
        <v>#REF!</v>
      </c>
      <c r="G242" s="46" t="e">
        <f>IF($B$242,AND($D$241&gt;=0,SUM($D$241,$C$242)&lt; 0),AND($D$241&gt;=0,SUM($D$241,$Q$242)&lt; 0))</f>
        <v>#REF!</v>
      </c>
      <c r="H242" s="46" t="e">
        <f>OR($G$242,$F$242)</f>
        <v>#REF!</v>
      </c>
      <c r="I242" s="46" t="e">
        <f>IF($H$242,IF($G$242,"atb","bta"),IF($E$242,"nca","ncb"))</f>
        <v>#REF!</v>
      </c>
      <c r="J242" s="46" t="e">
        <f>IF($H$242,0,IF($B$242,IF($E$242,IF($C$242&gt;=0,$D$241,$D$241+$C$242),IF($C$242&gt;=0,$D$241+$C$242,$D$241)),IF($E$242,SUM($D$241,$Q$242),SUM($D$241,$R$242))))</f>
        <v>#REF!</v>
      </c>
      <c r="K242" s="46"/>
      <c r="L242" s="46"/>
      <c r="M242" s="46" t="e">
        <f>IF(COUNTIF(#REF!, "= 0")+ COUNTBLANK(#REF!) = 1,NA(),IF($B$242,NA(),IF($C$242&gt;=0,SUM($D$241,$R$242),NA())))</f>
        <v>#REF!</v>
      </c>
      <c r="N242" s="46" t="e">
        <f>IF(COUNTIF(#REF!, "= 0")+ COUNTBLANK(#REF!) = 1,NA(),IF($B$242,NA(),IF($C$242&gt;=0,NA(),SUM($D$241,$Q$242))))</f>
        <v>#REF!</v>
      </c>
      <c r="O242" s="46" t="e">
        <f>$C$242</f>
        <v>#REF!</v>
      </c>
      <c r="P242" s="46" t="e">
        <f>$C$242</f>
        <v>#REF!</v>
      </c>
      <c r="Q242" s="46">
        <f>SUMIF($Z$242:$Z$242,"&lt;0")</f>
        <v>0</v>
      </c>
      <c r="R242" s="46">
        <f>SUMIF($Z$242:$Z$242,"&gt;0")</f>
        <v>0</v>
      </c>
      <c r="S242" s="46" t="e">
        <f>IF($B$242,IF($I$242="nca",IF($C$242&gt;=0,0,ABS($C$242)),IF($I$242="ncb",0,IF($I$242="atb",IF($C$242&gt;=0,0,IF($D$241&lt;0,0,IF(ABS($C$242)&gt;$D$241,$D$241,ABS($C$242)))),IF($I$242="bta",0,"err")))),)</f>
        <v>#REF!</v>
      </c>
      <c r="T242" s="46" t="e">
        <f>IF($B$242,IF($I$242="nca",IF($C$242&lt;0,0,ABS($C$242)),IF($I$242="ncb",0,IF($I$242="atb",IF($C$242&lt;=0,0,$C$242),IF($I$242="bta",IF($C$242&lt;=0,0,$V$242+$C$242),"err")))),)</f>
        <v>#REF!</v>
      </c>
      <c r="U242" s="46" t="e">
        <f>IF($B$242,IF($I$242="nca",0,IF($I$242="ncb",IF($C$242&lt;=0,-ABS($C$242),0),IF($I$242="atb",IF($C$242&lt;0,$C$242+$S$242,0),IF($I$242="bta",IF($C$242&lt;=0,$C$242,0),"err")))),)</f>
        <v>#REF!</v>
      </c>
      <c r="V242" s="46" t="e">
        <f>IF($B$242,IF($I$242="nca",0,IF($I$242="ncb",IF($C$242&gt;=0,-ABS($C$242),0),IF($I$242="atb",0,IF($I$242="bta",IF($C$242&lt;=0,0,IF($D$241&gt;0,0,IF(ABS($C$242)&lt;ABS($D$241),-ABS($C$242),$D$241))),"err")))),)</f>
        <v>#REF!</v>
      </c>
      <c r="W242" s="46" t="e">
        <f>IF($C$242&gt;=0,IF($B$242,IF($C$242=0,NA(),$D$242),NA()),NA())</f>
        <v>#REF!</v>
      </c>
      <c r="X242" s="46" t="e">
        <f>IF($C$242&lt;0,IF($B$242,IF($C$242=0,NA(),$D$242),NA()),NA())</f>
        <v>#REF!</v>
      </c>
      <c r="Y242" s="46" t="e">
        <f>$D$241</f>
        <v>#REF!</v>
      </c>
      <c r="Z242" s="46" t="e">
        <f>#REF!</f>
        <v>#REF!</v>
      </c>
      <c r="AA242" s="46">
        <v>0</v>
      </c>
      <c r="AB242" s="46">
        <v>0</v>
      </c>
      <c r="AC242" s="46">
        <f>IF($B$242,,IF($I$242="nca",IF($Z$242&gt;=0,0,ABS($Z$242)),IF($I$242="ncb",0,IF($I$242="atb",IF($Z$242&gt;=0,0,IF($D$241-$AA$242&lt;0,0,IF(ABS($Z$242)&gt;$D$241-$AA$242,$D$241-$AA$242,ABS($Z$242)))),IF($I$242="bta",0,"err")))))</f>
        <v>0</v>
      </c>
      <c r="AD242" s="46">
        <f>IF($B$242,,IF($I$242="nca",0,IF($I$242="ncb",IF($Z$242&gt;=0,-ABS($Z$242),0),IF($I$242="atb",0,IF($I$242="bta",IF($Z$242&lt;=0,0,IF($D$241+$AB$242&gt;0,0,IF(ABS($Z$242)&lt;ABS($D$241+$AB$242),-ABS($Z$242),$D$241+$AB$242))),"err")))))</f>
        <v>0</v>
      </c>
      <c r="AE242" s="46">
        <f>IF($B$242,,IF($I$242="nca",0,IF($I$242="ncb",IF($Z$242&lt;=0,-ABS($Z$242),0),IF($I$242="atb",IF($Z$242&lt;0,$Z$242+$AC$242,0),IF($I$242="bta",IF($Z$242&lt;=0,$Z$242,0),"err")))))</f>
        <v>0</v>
      </c>
      <c r="AF242" s="46">
        <f>IF($B$242,,IF($I$242="nca",IF($Z$242&lt;0,0,ABS($Z$242)),IF($I$242="ncb",0,IF($I$242="atb",IF($Z$242&lt;=0,0,$Z$242),IF($I$242="bta",IF($Z$242&lt;=0,0,$AD$242+$Z$242),"err")))))</f>
        <v>0</v>
      </c>
      <c r="AG242" s="46" t="b">
        <f>IF(SUM(COUNTIFS($AF$242,"&lt;&gt;0",$AF$242,"&lt;&gt;"),COUNTIFS($AC$242,"&lt;&gt;0",$AC$242,"&lt;&gt;"),COUNTIFS($AD$242,"&lt;&gt;0",$AD$242,"&lt;&gt;"),COUNTIFS($AE$242,"&lt;&gt;0",$AE$242,"&lt;&gt;"))=2,TRUE,FALSE)</f>
        <v>0</v>
      </c>
      <c r="AH242" s="46" t="e">
        <f>IF($B$242,NA(),IF($Z$242=0,NA(),IF($AG$242,SUM($AC$242,$AF$242,$AD$242,$AE$242)/2,IF(OR($AF$242&lt;&gt;0,$AD$242&lt;&gt;0),$D$241+$AB$242,$D$241-$AA$242)+$Z$242/2)))</f>
        <v>#N/A</v>
      </c>
    </row>
    <row r="243" spans="1:34">
      <c r="A243" s="46"/>
      <c r="B243" s="46"/>
      <c r="C243" s="46" t="e">
        <f>#REF!</f>
        <v>#REF!</v>
      </c>
      <c r="D243" s="46" t="e">
        <f>SUM($D$242,$C$243)</f>
        <v>#REF!</v>
      </c>
      <c r="E243" s="46" t="e">
        <f>$D$242&gt;=0</f>
        <v>#REF!</v>
      </c>
      <c r="F243" s="46" t="e">
        <f>IF($B$242,AND($D$242&lt;=0,SUM($D$242,$C$243)&gt; 0),AND($D$242&lt;=0,SUM($D$242,$R$243)&gt; 0))</f>
        <v>#REF!</v>
      </c>
      <c r="G243" s="46" t="e">
        <f>IF($B$242,AND($D$242&gt;=0,SUM($D$242,$C$243)&lt; 0),AND($D$242&gt;=0,SUM($D$242,$Q$243)&lt; 0))</f>
        <v>#REF!</v>
      </c>
      <c r="H243" s="46" t="e">
        <f>OR($G$243,$F$243)</f>
        <v>#REF!</v>
      </c>
      <c r="I243" s="46" t="e">
        <f>IF($H$243,IF($G$243,"atb","bta"),IF($E$243,"nca","ncb"))</f>
        <v>#REF!</v>
      </c>
      <c r="J243" s="46" t="e">
        <f>IF($H$243,0,IF($B$242,IF($E$243,IF($C$243&gt;=0,$D$242,$D$242+$C$243),IF($C$243&gt;=0,$D$242+$C$243,$D$242)),IF($E$243,SUM($D$242,$Q$243),SUM($D$242,$R$243))))</f>
        <v>#REF!</v>
      </c>
      <c r="K243" s="46"/>
      <c r="L243" s="46"/>
      <c r="M243" s="46" t="e">
        <f>IF(COUNTIF(#REF!, "= 0")+ COUNTBLANK(#REF!) = 1,NA(),IF($B$242,NA(),IF($C$243&gt;=0,SUM($D$242,$R$243),NA())))</f>
        <v>#REF!</v>
      </c>
      <c r="N243" s="46" t="e">
        <f>IF(COUNTIF(#REF!, "= 0")+ COUNTBLANK(#REF!) = 1,NA(),IF($B$242,NA(),IF($C$243&gt;=0,NA(),SUM($D$242,$Q$243))))</f>
        <v>#REF!</v>
      </c>
      <c r="O243" s="46" t="e">
        <f>$C$243</f>
        <v>#REF!</v>
      </c>
      <c r="P243" s="46" t="e">
        <f>$C$243</f>
        <v>#REF!</v>
      </c>
      <c r="Q243" s="46">
        <f>SUMIF($Z$243:$Z$243,"&lt;0")</f>
        <v>0</v>
      </c>
      <c r="R243" s="46">
        <f>SUMIF($Z$243:$Z$243,"&gt;0")</f>
        <v>0</v>
      </c>
      <c r="S243" s="46" t="e">
        <f>IF($B$242,IF($I$243="nca",IF($C$243&gt;=0,0,ABS($C$243)),IF($I$243="ncb",0,IF($I$243="atb",IF($C$243&gt;=0,0,IF($D$242&lt;0,0,IF(ABS($C$243)&gt;$D$242,$D$242,ABS($C$243)))),IF($I$243="bta",0,"err")))),)</f>
        <v>#REF!</v>
      </c>
      <c r="T243" s="46" t="e">
        <f>IF($B$242,IF($I$243="nca",IF($C$243&lt;0,0,ABS($C$243)),IF($I$243="ncb",0,IF($I$243="atb",IF($C$243&lt;=0,0,$C$243),IF($I$243="bta",IF($C$243&lt;=0,0,$V$243+$C$243),"err")))),)</f>
        <v>#REF!</v>
      </c>
      <c r="U243" s="46" t="e">
        <f>IF($B$242,IF($I$243="nca",0,IF($I$243="ncb",IF($C$243&lt;=0,-ABS($C$243),0),IF($I$243="atb",IF($C$243&lt;0,$C$243+$S$243,0),IF($I$243="bta",IF($C$243&lt;=0,$C$243,0),"err")))),)</f>
        <v>#REF!</v>
      </c>
      <c r="V243" s="46" t="e">
        <f>IF($B$242,IF($I$243="nca",0,IF($I$243="ncb",IF($C$243&gt;=0,-ABS($C$243),0),IF($I$243="atb",0,IF($I$243="bta",IF($C$243&lt;=0,0,IF($D$242&gt;0,0,IF(ABS($C$243)&lt;ABS($D$242),-ABS($C$243),$D$242))),"err")))),)</f>
        <v>#REF!</v>
      </c>
      <c r="W243" s="46" t="e">
        <f>IF($C$243&gt;=0,IF($B$242,IF($C$243=0,NA(),$D$243),NA()),NA())</f>
        <v>#REF!</v>
      </c>
      <c r="X243" s="46" t="e">
        <f>IF($C$243&lt;0,IF($B$242,IF($C$243=0,NA(),$D$243),NA()),NA())</f>
        <v>#REF!</v>
      </c>
      <c r="Y243" s="46" t="e">
        <f>IF(IF($B$242,$C$242 = 0,COUNTIF(#REF!, "= 0")+ COUNTBLANK(#REF!) = 1),$Y$242,NA())</f>
        <v>#REF!</v>
      </c>
      <c r="Z243" s="46" t="e">
        <f>#REF!</f>
        <v>#REF!</v>
      </c>
      <c r="AA243" s="46">
        <v>0</v>
      </c>
      <c r="AB243" s="46">
        <v>0</v>
      </c>
      <c r="AC243" s="46">
        <f>IF($B$242,,IF($I$243="nca",IF($Z$243&gt;=0,0,ABS($Z$243)),IF($I$243="ncb",0,IF($I$243="atb",IF($Z$243&gt;=0,0,IF($D$242-$AA$243&lt;0,0,IF(ABS($Z$243)&gt;$D$242-$AA$243,$D$242-$AA$243,ABS($Z$243)))),IF($I$243="bta",0,"err")))))</f>
        <v>0</v>
      </c>
      <c r="AD243" s="46">
        <f>IF($B$242,,IF($I$243="nca",0,IF($I$243="ncb",IF($Z$243&gt;=0,-ABS($Z$243),0),IF($I$243="atb",0,IF($I$243="bta",IF($Z$243&lt;=0,0,IF($D$242+$AB$243&gt;0,0,IF(ABS($Z$243)&lt;ABS($D$242+$AB$243),-ABS($Z$243),$D$242+$AB$243))),"err")))))</f>
        <v>0</v>
      </c>
      <c r="AE243" s="46">
        <f>IF($B$242,,IF($I$243="nca",0,IF($I$243="ncb",IF($Z$243&lt;=0,-ABS($Z$243),0),IF($I$243="atb",IF($Z$243&lt;0,$Z$243+$AC$243,0),IF($I$243="bta",IF($Z$243&lt;=0,$Z$243,0),"err")))))</f>
        <v>0</v>
      </c>
      <c r="AF243" s="46">
        <f>IF($B$242,,IF($I$243="nca",IF($Z$243&lt;0,0,ABS($Z$243)),IF($I$243="ncb",0,IF($I$243="atb",IF($Z$243&lt;=0,0,$Z$243),IF($I$243="bta",IF($Z$243&lt;=0,0,$AD$243+$Z$243),"err")))))</f>
        <v>0</v>
      </c>
      <c r="AG243" s="46" t="b">
        <f>IF(SUM(COUNTIFS($AF$243,"&lt;&gt;0",$AF$243,"&lt;&gt;"),COUNTIFS($AC$243,"&lt;&gt;0",$AC$243,"&lt;&gt;"),COUNTIFS($AD$243,"&lt;&gt;0",$AD$243,"&lt;&gt;"),COUNTIFS($AE$243,"&lt;&gt;0",$AE$243,"&lt;&gt;"))=2,TRUE,FALSE)</f>
        <v>0</v>
      </c>
      <c r="AH243" s="46" t="e">
        <f>IF($B$242,NA(),IF($Z$243=0,NA(),IF($AG$243,SUM($AC$243,$AF$243,$AD$243,$AE$243)/2,IF(OR($AF$243&lt;&gt;0,$AD$243&lt;&gt;0),$D$242+$AB$243,$D$242-$AA$243)+$Z$243/2)))</f>
        <v>#N/A</v>
      </c>
    </row>
    <row r="244" spans="1:34">
      <c r="A244" s="46"/>
      <c r="B244" s="46"/>
      <c r="C244" s="46" t="e">
        <f>#REF!</f>
        <v>#REF!</v>
      </c>
      <c r="D244" s="46" t="e">
        <f>SUM($D$243,$C$244)</f>
        <v>#REF!</v>
      </c>
      <c r="E244" s="46" t="e">
        <f>$D$243&gt;=0</f>
        <v>#REF!</v>
      </c>
      <c r="F244" s="46" t="e">
        <f>IF($B$242,AND($D$243&lt;=0,SUM($D$243,$C$244)&gt; 0),AND($D$243&lt;=0,SUM($D$243,$R$244)&gt; 0))</f>
        <v>#REF!</v>
      </c>
      <c r="G244" s="46" t="e">
        <f>IF($B$242,AND($D$243&gt;=0,SUM($D$243,$C$244)&lt; 0),AND($D$243&gt;=0,SUM($D$243,$Q$244)&lt; 0))</f>
        <v>#REF!</v>
      </c>
      <c r="H244" s="46" t="e">
        <f>OR($G$244,$F$244)</f>
        <v>#REF!</v>
      </c>
      <c r="I244" s="46" t="e">
        <f>IF($H$244,IF($G$244,"atb","bta"),IF($E$244,"nca","ncb"))</f>
        <v>#REF!</v>
      </c>
      <c r="J244" s="46" t="e">
        <f>IF($H$244,0,IF($B$242,IF($E$244,IF($C$244&gt;=0,$D$243,$D$243+$C$244),IF($C$244&gt;=0,$D$243+$C$244,$D$243)),IF($E$244,SUM($D$243,$Q$244),SUM($D$243,$R$244))))</f>
        <v>#REF!</v>
      </c>
      <c r="K244" s="46"/>
      <c r="L244" s="46"/>
      <c r="M244" s="46" t="e">
        <f>IF(COUNTIF(#REF!, "= 0")+ COUNTBLANK(#REF!) = 1,NA(),IF($B$242,NA(),IF($C$244&gt;=0,SUM($D$243,$R$244),NA())))</f>
        <v>#REF!</v>
      </c>
      <c r="N244" s="46" t="e">
        <f>IF(COUNTIF(#REF!, "= 0")+ COUNTBLANK(#REF!) = 1,NA(),IF($B$242,NA(),IF($C$244&gt;=0,NA(),SUM($D$243,$Q$244))))</f>
        <v>#REF!</v>
      </c>
      <c r="O244" s="46" t="e">
        <f>$C$244</f>
        <v>#REF!</v>
      </c>
      <c r="P244" s="46" t="e">
        <f>$C$244</f>
        <v>#REF!</v>
      </c>
      <c r="Q244" s="46">
        <f>SUMIF($Z$244:$Z$244,"&lt;0")</f>
        <v>0</v>
      </c>
      <c r="R244" s="46">
        <f>SUMIF($Z$244:$Z$244,"&gt;0")</f>
        <v>0</v>
      </c>
      <c r="S244" s="46" t="e">
        <f>IF($B$242,IF($I$244="nca",IF($C$244&gt;=0,0,ABS($C$244)),IF($I$244="ncb",0,IF($I$244="atb",IF($C$244&gt;=0,0,IF($D$243&lt;0,0,IF(ABS($C$244)&gt;$D$243,$D$243,ABS($C$244)))),IF($I$244="bta",0,"err")))),)</f>
        <v>#REF!</v>
      </c>
      <c r="T244" s="46" t="e">
        <f>IF($B$242,IF($I$244="nca",IF($C$244&lt;0,0,ABS($C$244)),IF($I$244="ncb",0,IF($I$244="atb",IF($C$244&lt;=0,0,$C$244),IF($I$244="bta",IF($C$244&lt;=0,0,$V$244+$C$244),"err")))),)</f>
        <v>#REF!</v>
      </c>
      <c r="U244" s="46" t="e">
        <f>IF($B$242,IF($I$244="nca",0,IF($I$244="ncb",IF($C$244&lt;=0,-ABS($C$244),0),IF($I$244="atb",IF($C$244&lt;0,$C$244+$S$244,0),IF($I$244="bta",IF($C$244&lt;=0,$C$244,0),"err")))),)</f>
        <v>#REF!</v>
      </c>
      <c r="V244" s="46" t="e">
        <f>IF($B$242,IF($I$244="nca",0,IF($I$244="ncb",IF($C$244&gt;=0,-ABS($C$244),0),IF($I$244="atb",0,IF($I$244="bta",IF($C$244&lt;=0,0,IF($D$243&gt;0,0,IF(ABS($C$244)&lt;ABS($D$243),-ABS($C$244),$D$243))),"err")))),)</f>
        <v>#REF!</v>
      </c>
      <c r="W244" s="46" t="e">
        <f>IF($C$244&gt;=0,IF($B$242,IF($C$244=0,NA(),$D$244),NA()),NA())</f>
        <v>#REF!</v>
      </c>
      <c r="X244" s="46" t="e">
        <f>IF($C$244&lt;0,IF($B$242,IF($C$244=0,NA(),$D$244),NA()),NA())</f>
        <v>#REF!</v>
      </c>
      <c r="Y244" s="46" t="e">
        <f>$D$242</f>
        <v>#REF!</v>
      </c>
      <c r="Z244" s="46" t="e">
        <f>#REF!</f>
        <v>#REF!</v>
      </c>
      <c r="AA244" s="46">
        <v>0</v>
      </c>
      <c r="AB244" s="46">
        <v>0</v>
      </c>
      <c r="AC244" s="46">
        <f>IF($B$242,,IF($I$244="nca",IF($Z$244&gt;=0,0,ABS($Z$244)),IF($I$244="ncb",0,IF($I$244="atb",IF($Z$244&gt;=0,0,IF($D$243-$AA$244&lt;0,0,IF(ABS($Z$244)&gt;$D$243-$AA$244,$D$243-$AA$244,ABS($Z$244)))),IF($I$244="bta",0,"err")))))</f>
        <v>0</v>
      </c>
      <c r="AD244" s="46">
        <f>IF($B$242,,IF($I$244="nca",0,IF($I$244="ncb",IF($Z$244&gt;=0,-ABS($Z$244),0),IF($I$244="atb",0,IF($I$244="bta",IF($Z$244&lt;=0,0,IF($D$243+$AB$244&gt;0,0,IF(ABS($Z$244)&lt;ABS($D$243+$AB$244),-ABS($Z$244),$D$243+$AB$244))),"err")))))</f>
        <v>0</v>
      </c>
      <c r="AE244" s="46">
        <f>IF($B$242,,IF($I$244="nca",0,IF($I$244="ncb",IF($Z$244&lt;=0,-ABS($Z$244),0),IF($I$244="atb",IF($Z$244&lt;0,$Z$244+$AC$244,0),IF($I$244="bta",IF($Z$244&lt;=0,$Z$244,0),"err")))))</f>
        <v>0</v>
      </c>
      <c r="AF244" s="46">
        <f>IF($B$242,,IF($I$244="nca",IF($Z$244&lt;0,0,ABS($Z$244)),IF($I$244="ncb",0,IF($I$244="atb",IF($Z$244&lt;=0,0,$Z$244),IF($I$244="bta",IF($Z$244&lt;=0,0,$AD$244+$Z$244),"err")))))</f>
        <v>0</v>
      </c>
      <c r="AG244" s="46" t="b">
        <f>IF(SUM(COUNTIFS($AF$244,"&lt;&gt;0",$AF$244,"&lt;&gt;"),COUNTIFS($AC$244,"&lt;&gt;0",$AC$244,"&lt;&gt;"),COUNTIFS($AD$244,"&lt;&gt;0",$AD$244,"&lt;&gt;"),COUNTIFS($AE$244,"&lt;&gt;0",$AE$244,"&lt;&gt;"))=2,TRUE,FALSE)</f>
        <v>0</v>
      </c>
      <c r="AH244" s="46" t="e">
        <f>IF($B$242,NA(),IF($Z$244=0,NA(),IF($AG$244,SUM($AC$244,$AF$244,$AD$244,$AE$244)/2,IF(OR($AF$244&lt;&gt;0,$AD$244&lt;&gt;0),$D$243+$AB$244,$D$243-$AA$244)+$Z$244/2)))</f>
        <v>#N/A</v>
      </c>
    </row>
    <row r="245" spans="1:34">
      <c r="A245" s="46"/>
      <c r="B245" s="46"/>
      <c r="C245" s="46" t="e">
        <f>#REF!</f>
        <v>#REF!</v>
      </c>
      <c r="D245" s="46" t="e">
        <f>SUM($D$244,$C$245)</f>
        <v>#REF!</v>
      </c>
      <c r="E245" s="46" t="e">
        <f>$D$244&gt;=0</f>
        <v>#REF!</v>
      </c>
      <c r="F245" s="46" t="e">
        <f>IF($B$242,AND($D$244&lt;=0,SUM($D$244,$C$245)&gt; 0),AND($D$244&lt;=0,SUM($D$244,$R$245)&gt; 0))</f>
        <v>#REF!</v>
      </c>
      <c r="G245" s="46" t="e">
        <f>IF($B$242,AND($D$244&gt;=0,SUM($D$244,$C$245)&lt; 0),AND($D$244&gt;=0,SUM($D$244,$Q$245)&lt; 0))</f>
        <v>#REF!</v>
      </c>
      <c r="H245" s="46" t="e">
        <f>OR($G$245,$F$245)</f>
        <v>#REF!</v>
      </c>
      <c r="I245" s="46" t="e">
        <f>IF($H$245,IF($G$245,"atb","bta"),IF($E$245,"nca","ncb"))</f>
        <v>#REF!</v>
      </c>
      <c r="J245" s="46" t="e">
        <f>IF($H$245,0,IF($B$242,IF($E$245,IF($C$245&gt;=0,$D$244,$D$244+$C$245),IF($C$245&gt;=0,$D$244+$C$245,$D$244)),IF($E$245,SUM($D$244,$Q$245),SUM($D$244,$R$245))))</f>
        <v>#REF!</v>
      </c>
      <c r="K245" s="46"/>
      <c r="L245" s="46"/>
      <c r="M245" s="46" t="e">
        <f>IF(COUNTIF(#REF!, "= 0")+ COUNTBLANK(#REF!) = 1,NA(),IF($B$242,NA(),IF($C$245&gt;=0,SUM($D$244,$R$245),NA())))</f>
        <v>#REF!</v>
      </c>
      <c r="N245" s="46" t="e">
        <f>IF(COUNTIF(#REF!, "= 0")+ COUNTBLANK(#REF!) = 1,NA(),IF($B$242,NA(),IF($C$245&gt;=0,NA(),SUM($D$244,$Q$245))))</f>
        <v>#REF!</v>
      </c>
      <c r="O245" s="46" t="e">
        <f>$C$245</f>
        <v>#REF!</v>
      </c>
      <c r="P245" s="46" t="e">
        <f>$C$245</f>
        <v>#REF!</v>
      </c>
      <c r="Q245" s="46">
        <f>SUMIF($Z$245:$Z$245,"&lt;0")</f>
        <v>0</v>
      </c>
      <c r="R245" s="46">
        <f>SUMIF($Z$245:$Z$245,"&gt;0")</f>
        <v>0</v>
      </c>
      <c r="S245" s="46" t="e">
        <f>IF($B$242,IF($I$245="nca",IF($C$245&gt;=0,0,ABS($C$245)),IF($I$245="ncb",0,IF($I$245="atb",IF($C$245&gt;=0,0,IF($D$244&lt;0,0,IF(ABS($C$245)&gt;$D$244,$D$244,ABS($C$245)))),IF($I$245="bta",0,"err")))),)</f>
        <v>#REF!</v>
      </c>
      <c r="T245" s="46" t="e">
        <f>IF($B$242,IF($I$245="nca",IF($C$245&lt;0,0,ABS($C$245)),IF($I$245="ncb",0,IF($I$245="atb",IF($C$245&lt;=0,0,$C$245),IF($I$245="bta",IF($C$245&lt;=0,0,$V$245+$C$245),"err")))),)</f>
        <v>#REF!</v>
      </c>
      <c r="U245" s="46" t="e">
        <f>IF($B$242,IF($I$245="nca",0,IF($I$245="ncb",IF($C$245&lt;=0,-ABS($C$245),0),IF($I$245="atb",IF($C$245&lt;0,$C$245+$S$245,0),IF($I$245="bta",IF($C$245&lt;=0,$C$245,0),"err")))),)</f>
        <v>#REF!</v>
      </c>
      <c r="V245" s="46" t="e">
        <f>IF($B$242,IF($I$245="nca",0,IF($I$245="ncb",IF($C$245&gt;=0,-ABS($C$245),0),IF($I$245="atb",0,IF($I$245="bta",IF($C$245&lt;=0,0,IF($D$244&gt;0,0,IF(ABS($C$245)&lt;ABS($D$244),-ABS($C$245),$D$244))),"err")))),)</f>
        <v>#REF!</v>
      </c>
      <c r="W245" s="46" t="e">
        <f>IF($C$245&gt;=0,IF($B$242,IF($C$245=0,NA(),$D$245),NA()),NA())</f>
        <v>#REF!</v>
      </c>
      <c r="X245" s="46" t="e">
        <f>IF($C$245&lt;0,IF($B$242,IF($C$245=0,NA(),$D$245),NA()),NA())</f>
        <v>#REF!</v>
      </c>
      <c r="Y245" s="46" t="e">
        <f>$D$242</f>
        <v>#REF!</v>
      </c>
      <c r="Z245" s="46" t="e">
        <f>#REF!</f>
        <v>#REF!</v>
      </c>
      <c r="AA245" s="46">
        <v>0</v>
      </c>
      <c r="AB245" s="46">
        <v>0</v>
      </c>
      <c r="AC245" s="46">
        <f>IF($B$242,,IF($I$245="nca",IF($Z$245&gt;=0,0,ABS($Z$245)),IF($I$245="ncb",0,IF($I$245="atb",IF($Z$245&gt;=0,0,IF($D$244-$AA$245&lt;0,0,IF(ABS($Z$245)&gt;$D$244-$AA$245,$D$244-$AA$245,ABS($Z$245)))),IF($I$245="bta",0,"err")))))</f>
        <v>0</v>
      </c>
      <c r="AD245" s="46">
        <f>IF($B$242,,IF($I$245="nca",0,IF($I$245="ncb",IF($Z$245&gt;=0,-ABS($Z$245),0),IF($I$245="atb",0,IF($I$245="bta",IF($Z$245&lt;=0,0,IF($D$244+$AB$245&gt;0,0,IF(ABS($Z$245)&lt;ABS($D$244+$AB$245),-ABS($Z$245),$D$244+$AB$245))),"err")))))</f>
        <v>0</v>
      </c>
      <c r="AE245" s="46">
        <f>IF($B$242,,IF($I$245="nca",0,IF($I$245="ncb",IF($Z$245&lt;=0,-ABS($Z$245),0),IF($I$245="atb",IF($Z$245&lt;0,$Z$245+$AC$245,0),IF($I$245="bta",IF($Z$245&lt;=0,$Z$245,0),"err")))))</f>
        <v>0</v>
      </c>
      <c r="AF245" s="46">
        <f>IF($B$242,,IF($I$245="nca",IF($Z$245&lt;0,0,ABS($Z$245)),IF($I$245="ncb",0,IF($I$245="atb",IF($Z$245&lt;=0,0,$Z$245),IF($I$245="bta",IF($Z$245&lt;=0,0,$AD$245+$Z$245),"err")))))</f>
        <v>0</v>
      </c>
      <c r="AG245" s="46" t="b">
        <f>IF(SUM(COUNTIFS($AF$245,"&lt;&gt;0",$AF$245,"&lt;&gt;"),COUNTIFS($AC$245,"&lt;&gt;0",$AC$245,"&lt;&gt;"),COUNTIFS($AD$245,"&lt;&gt;0",$AD$245,"&lt;&gt;"),COUNTIFS($AE$245,"&lt;&gt;0",$AE$245,"&lt;&gt;"))=2,TRUE,FALSE)</f>
        <v>0</v>
      </c>
      <c r="AH245" s="46" t="e">
        <f>IF($B$242,NA(),IF($Z$245=0,NA(),IF($AG$245,SUM($AC$245,$AF$245,$AD$245,$AE$245)/2,IF(OR($AF$245&lt;&gt;0,$AD$245&lt;&gt;0),$D$244+$AB$245,$D$244-$AA$245)+$Z$245/2)))</f>
        <v>#N/A</v>
      </c>
    </row>
    <row r="246" spans="1:34">
      <c r="A246" s="46"/>
      <c r="B246" s="46"/>
      <c r="C246" s="46" t="e">
        <f>#REF!</f>
        <v>#REF!</v>
      </c>
      <c r="D246" s="46" t="e">
        <f>SUM($D$245,$C$246)</f>
        <v>#REF!</v>
      </c>
      <c r="E246" s="46" t="e">
        <f>$D$245&gt;=0</f>
        <v>#REF!</v>
      </c>
      <c r="F246" s="46" t="e">
        <f>IF($B$242,AND($D$245&lt;=0,SUM($D$245,$C$246)&gt; 0),AND($D$245&lt;=0,SUM($D$245,$R$246)&gt; 0))</f>
        <v>#REF!</v>
      </c>
      <c r="G246" s="46" t="e">
        <f>IF($B$242,AND($D$245&gt;=0,SUM($D$245,$C$246)&lt; 0),AND($D$245&gt;=0,SUM($D$245,$Q$246)&lt; 0))</f>
        <v>#REF!</v>
      </c>
      <c r="H246" s="46" t="e">
        <f>OR($G$246,$F$246)</f>
        <v>#REF!</v>
      </c>
      <c r="I246" s="46" t="e">
        <f>IF($H$246,IF($G$246,"atb","bta"),IF($E$246,"nca","ncb"))</f>
        <v>#REF!</v>
      </c>
      <c r="J246" s="46" t="e">
        <f>IF($H$246,0,IF($B$242,IF($E$246,IF($C$246&gt;=0,$D$245,$D$245+$C$246),IF($C$246&gt;=0,$D$245+$C$246,$D$245)),IF($E$246,SUM($D$245,$Q$246),SUM($D$245,$R$246))))</f>
        <v>#REF!</v>
      </c>
      <c r="K246" s="46"/>
      <c r="L246" s="46"/>
      <c r="M246" s="46" t="e">
        <f>IF(COUNTIF(#REF!, "= 0")+ COUNTBLANK(#REF!) = 1,NA(),IF($B$242,NA(),IF($C$246&gt;=0,SUM($D$245,$R$246),NA())))</f>
        <v>#REF!</v>
      </c>
      <c r="N246" s="46" t="e">
        <f>IF(COUNTIF(#REF!, "= 0")+ COUNTBLANK(#REF!) = 1,NA(),IF($B$242,NA(),IF($C$246&gt;=0,NA(),SUM($D$245,$Q$246))))</f>
        <v>#REF!</v>
      </c>
      <c r="O246" s="46" t="e">
        <f>$C$246</f>
        <v>#REF!</v>
      </c>
      <c r="P246" s="46" t="e">
        <f>$C$246</f>
        <v>#REF!</v>
      </c>
      <c r="Q246" s="46">
        <f>SUMIF($Z$246:$Z$246,"&lt;0")</f>
        <v>0</v>
      </c>
      <c r="R246" s="46">
        <f>SUMIF($Z$246:$Z$246,"&gt;0")</f>
        <v>0</v>
      </c>
      <c r="S246" s="46" t="e">
        <f>IF($B$242,IF($I$246="nca",IF($C$246&gt;=0,0,ABS($C$246)),IF($I$246="ncb",0,IF($I$246="atb",IF($C$246&gt;=0,0,IF($D$245&lt;0,0,IF(ABS($C$246)&gt;$D$245,$D$245,ABS($C$246)))),IF($I$246="bta",0,"err")))),)</f>
        <v>#REF!</v>
      </c>
      <c r="T246" s="46" t="e">
        <f>IF($B$242,IF($I$246="nca",IF($C$246&lt;0,0,ABS($C$246)),IF($I$246="ncb",0,IF($I$246="atb",IF($C$246&lt;=0,0,$C$246),IF($I$246="bta",IF($C$246&lt;=0,0,$V$246+$C$246),"err")))),)</f>
        <v>#REF!</v>
      </c>
      <c r="U246" s="46" t="e">
        <f>IF($B$242,IF($I$246="nca",0,IF($I$246="ncb",IF($C$246&lt;=0,-ABS($C$246),0),IF($I$246="atb",IF($C$246&lt;0,$C$246+$S$246,0),IF($I$246="bta",IF($C$246&lt;=0,$C$246,0),"err")))),)</f>
        <v>#REF!</v>
      </c>
      <c r="V246" s="46" t="e">
        <f>IF($B$242,IF($I$246="nca",0,IF($I$246="ncb",IF($C$246&gt;=0,-ABS($C$246),0),IF($I$246="atb",0,IF($I$246="bta",IF($C$246&lt;=0,0,IF($D$245&gt;0,0,IF(ABS($C$246)&lt;ABS($D$245),-ABS($C$246),$D$245))),"err")))),)</f>
        <v>#REF!</v>
      </c>
      <c r="W246" s="46" t="e">
        <f>IF($C$246&gt;=0,IF($B$242,IF($C$246=0,NA(),$D$246),NA()),NA())</f>
        <v>#REF!</v>
      </c>
      <c r="X246" s="46" t="e">
        <f>IF($C$246&lt;0,IF($B$242,IF($C$246=0,NA(),$D$246),NA()),NA())</f>
        <v>#REF!</v>
      </c>
      <c r="Y246" s="46" t="e">
        <f>IF(IF($B$242,$C$243 = 0,COUNTIF(#REF!, "= 0")+ COUNTBLANK(#REF!) = 1),$Y$245,NA())</f>
        <v>#REF!</v>
      </c>
      <c r="Z246" s="46" t="e">
        <f>#REF!</f>
        <v>#REF!</v>
      </c>
      <c r="AA246" s="46">
        <v>0</v>
      </c>
      <c r="AB246" s="46">
        <v>0</v>
      </c>
      <c r="AC246" s="46">
        <f>IF($B$242,,IF($I$246="nca",IF($Z$246&gt;=0,0,ABS($Z$246)),IF($I$246="ncb",0,IF($I$246="atb",IF($Z$246&gt;=0,0,IF($D$245-$AA$246&lt;0,0,IF(ABS($Z$246)&gt;$D$245-$AA$246,$D$245-$AA$246,ABS($Z$246)))),IF($I$246="bta",0,"err")))))</f>
        <v>0</v>
      </c>
      <c r="AD246" s="46">
        <f>IF($B$242,,IF($I$246="nca",0,IF($I$246="ncb",IF($Z$246&gt;=0,-ABS($Z$246),0),IF($I$246="atb",0,IF($I$246="bta",IF($Z$246&lt;=0,0,IF($D$245+$AB$246&gt;0,0,IF(ABS($Z$246)&lt;ABS($D$245+$AB$246),-ABS($Z$246),$D$245+$AB$246))),"err")))))</f>
        <v>0</v>
      </c>
      <c r="AE246" s="46">
        <f>IF($B$242,,IF($I$246="nca",0,IF($I$246="ncb",IF($Z$246&lt;=0,-ABS($Z$246),0),IF($I$246="atb",IF($Z$246&lt;0,$Z$246+$AC$246,0),IF($I$246="bta",IF($Z$246&lt;=0,$Z$246,0),"err")))))</f>
        <v>0</v>
      </c>
      <c r="AF246" s="46">
        <f>IF($B$242,,IF($I$246="nca",IF($Z$246&lt;0,0,ABS($Z$246)),IF($I$246="ncb",0,IF($I$246="atb",IF($Z$246&lt;=0,0,$Z$246),IF($I$246="bta",IF($Z$246&lt;=0,0,$AD$246+$Z$246),"err")))))</f>
        <v>0</v>
      </c>
      <c r="AG246" s="46" t="b">
        <f>IF(SUM(COUNTIFS($AF$246,"&lt;&gt;0",$AF$246,"&lt;&gt;"),COUNTIFS($AC$246,"&lt;&gt;0",$AC$246,"&lt;&gt;"),COUNTIFS($AD$246,"&lt;&gt;0",$AD$246,"&lt;&gt;"),COUNTIFS($AE$246,"&lt;&gt;0",$AE$246,"&lt;&gt;"))=2,TRUE,FALSE)</f>
        <v>0</v>
      </c>
      <c r="AH246" s="46" t="e">
        <f>IF($B$242,NA(),IF($Z$246=0,NA(),IF($AG$246,SUM($AC$246,$AF$246,$AD$246,$AE$246)/2,IF(OR($AF$246&lt;&gt;0,$AD$246&lt;&gt;0),$D$245+$AB$246,$D$245-$AA$246)+$Z$246/2)))</f>
        <v>#N/A</v>
      </c>
    </row>
    <row r="247" spans="1:34">
      <c r="A247" s="46"/>
      <c r="B247" s="46"/>
      <c r="C247" s="46" t="e">
        <f>#REF!</f>
        <v>#REF!</v>
      </c>
      <c r="D247" s="46" t="e">
        <f>$C$247</f>
        <v>#REF!</v>
      </c>
      <c r="E247" s="46"/>
      <c r="F247" s="46"/>
      <c r="G247" s="46"/>
      <c r="H247" s="46"/>
      <c r="I247" s="46"/>
      <c r="J247" s="46"/>
      <c r="K247" s="46" t="e">
        <f>IF(COUNTIF(#REF!, "= 0")+ COUNTBLANK(#REF!) = 1,NA(),IF($B$241,$D$247,NA()))</f>
        <v>#REF!</v>
      </c>
      <c r="L247" s="46" t="e">
        <f>$D$247</f>
        <v>#REF!</v>
      </c>
      <c r="M247" s="46" t="e">
        <f>IF(COUNTIF(#REF!, "= 0")+ COUNTBLANK(#REF!) = 1,NA(),IF($B$241,NA(),IF($C$247&gt;= 0,$R$247,NA())))</f>
        <v>#REF!</v>
      </c>
      <c r="N247" s="46" t="e">
        <f>IF(COUNTIF(#REF!, "= 0")+ COUNTBLANK(#REF!) = 1,NA(),IF($B$241,NA(),IF($C$247&lt;= 0,$Q$247,NA())))</f>
        <v>#REF!</v>
      </c>
      <c r="O247" s="46" t="e">
        <f>$C$247</f>
        <v>#REF!</v>
      </c>
      <c r="P247" s="46" t="e">
        <f>$C$247</f>
        <v>#REF!</v>
      </c>
      <c r="Q247" s="46">
        <f>SUMIF($Z$247:$Z$247,"&lt;0")</f>
        <v>0</v>
      </c>
      <c r="R247" s="46">
        <f>SUMIF($Z$247:$Z$247,"&gt;0")</f>
        <v>0</v>
      </c>
      <c r="S247" s="46"/>
      <c r="T247" s="46"/>
      <c r="U247" s="46"/>
      <c r="V247" s="46"/>
      <c r="W247" s="46"/>
      <c r="X247" s="46"/>
      <c r="Y247" s="46" t="e">
        <f>$D$243</f>
        <v>#REF!</v>
      </c>
      <c r="Z247" s="46" t="e">
        <f>#REF!</f>
        <v>#REF!</v>
      </c>
      <c r="AA247" s="46">
        <v>0</v>
      </c>
      <c r="AB247" s="46">
        <v>0</v>
      </c>
      <c r="AC247" s="46"/>
      <c r="AD247" s="46"/>
      <c r="AE247" s="46">
        <f>IF($B$241,,IF($Z$247 &lt; 0,$Z$247,))</f>
        <v>0</v>
      </c>
      <c r="AF247" s="46">
        <f>IF($B$241,,IF($Z$247 &gt; 0,$Z$247,))</f>
        <v>0</v>
      </c>
      <c r="AG247" s="46"/>
      <c r="AH247" s="46" t="e">
        <f>IF($B$241,NA(),IF($Z$247 = 0,NA(),IF($Z$247 &gt; 0,$AB$247 + $Z$247/2,-$AA$247 + $Z$247/2)))</f>
        <v>#N/A</v>
      </c>
    </row>
    <row r="248" spans="1:34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 t="e">
        <f>$D$243</f>
        <v>#REF!</v>
      </c>
      <c r="Z248" s="46"/>
      <c r="AA248" s="46"/>
      <c r="AB248" s="46"/>
      <c r="AC248" s="46"/>
      <c r="AD248" s="46"/>
      <c r="AE248" s="46"/>
      <c r="AF248" s="46"/>
      <c r="AG248" s="46"/>
      <c r="AH248" s="46"/>
    </row>
    <row r="249" spans="1:34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 t="e">
        <f>IF(IF($B$242,$C$244 = 0,COUNTIF(#REF!, "= 0")+ COUNTBLANK(#REF!) = 1),$Y$248,NA())</f>
        <v>#REF!</v>
      </c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 t="e">
        <f>$D$244</f>
        <v>#REF!</v>
      </c>
      <c r="Z250" s="46"/>
      <c r="AA250" s="46"/>
      <c r="AB250" s="46"/>
      <c r="AC250" s="46"/>
      <c r="AD250" s="46"/>
      <c r="AE250" s="46"/>
      <c r="AF250" s="46"/>
      <c r="AG250" s="46"/>
      <c r="AH250" s="46"/>
    </row>
    <row r="251" spans="1:34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 t="e">
        <f>$D$244</f>
        <v>#REF!</v>
      </c>
      <c r="Z251" s="46"/>
      <c r="AA251" s="46"/>
      <c r="AB251" s="46"/>
      <c r="AC251" s="46"/>
      <c r="AD251" s="46"/>
      <c r="AE251" s="46"/>
      <c r="AF251" s="46"/>
      <c r="AG251" s="46"/>
      <c r="AH251" s="46"/>
    </row>
    <row r="252" spans="1:34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 t="e">
        <f>IF(IF($B$242,$C$245 = 0,COUNTIF(#REF!, "= 0")+ COUNTBLANK(#REF!) = 1),$Y$251,NA())</f>
        <v>#REF!</v>
      </c>
      <c r="Z252" s="46"/>
      <c r="AA252" s="46"/>
      <c r="AB252" s="46"/>
      <c r="AC252" s="46"/>
      <c r="AD252" s="46"/>
      <c r="AE252" s="46"/>
      <c r="AF252" s="46"/>
      <c r="AG252" s="46"/>
      <c r="AH252" s="46"/>
    </row>
    <row r="253" spans="1:34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 t="e">
        <f>$D$245</f>
        <v>#REF!</v>
      </c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 t="e">
        <f>$D$245</f>
        <v>#REF!</v>
      </c>
      <c r="Z254" s="46"/>
      <c r="AA254" s="46"/>
      <c r="AB254" s="46"/>
      <c r="AC254" s="46"/>
      <c r="AD254" s="46"/>
      <c r="AE254" s="46"/>
      <c r="AF254" s="46"/>
      <c r="AG254" s="46"/>
      <c r="AH254" s="46"/>
    </row>
    <row r="255" spans="1:34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 t="e">
        <f>IF(IF($B$242,$C$246 = 0,COUNTIF(#REF!, "= 0")+ COUNTBLANK(#REF!) = 1),$Y$254,NA())</f>
        <v>#REF!</v>
      </c>
      <c r="Z255" s="46"/>
      <c r="AA255" s="46"/>
      <c r="AB255" s="46"/>
      <c r="AC255" s="46"/>
      <c r="AD255" s="46"/>
      <c r="AE255" s="46"/>
      <c r="AF255" s="46"/>
      <c r="AG255" s="46"/>
      <c r="AH255" s="46"/>
    </row>
    <row r="256" spans="1:34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 t="e">
        <f>$D$246</f>
        <v>#REF!</v>
      </c>
      <c r="Z256" s="46"/>
      <c r="AA256" s="46"/>
      <c r="AB256" s="46"/>
      <c r="AC256" s="46"/>
      <c r="AD256" s="46"/>
      <c r="AE256" s="46"/>
      <c r="AF256" s="46"/>
      <c r="AG256" s="46"/>
      <c r="AH256" s="46"/>
    </row>
    <row r="257" spans="1:34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 t="e">
        <f>$D$246</f>
        <v>#REF!</v>
      </c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 t="e">
        <f>IF(IF($B$242,$C$247 = 0,COUNTIF(#REF!, "= 0")+ COUNTBLANK(#REF!) = 1),$Y$257,NA())</f>
        <v>#REF!</v>
      </c>
      <c r="Z258" s="46"/>
      <c r="AA258" s="46"/>
      <c r="AB258" s="46"/>
      <c r="AC258" s="46"/>
      <c r="AD258" s="46"/>
      <c r="AE258" s="46"/>
      <c r="AF258" s="46"/>
      <c r="AG258" s="46"/>
      <c r="AH258" s="46"/>
    </row>
    <row r="260" spans="1:34">
      <c r="A260" s="47" t="s">
        <v>93</v>
      </c>
      <c r="B260" s="47" t="s">
        <v>94</v>
      </c>
      <c r="C260" s="47" t="s">
        <v>95</v>
      </c>
      <c r="D260" s="47" t="s">
        <v>96</v>
      </c>
      <c r="E260" s="47" t="s">
        <v>97</v>
      </c>
      <c r="F260" s="47" t="s">
        <v>98</v>
      </c>
      <c r="G260" s="47" t="s">
        <v>99</v>
      </c>
      <c r="H260" s="47" t="s">
        <v>100</v>
      </c>
      <c r="I260" s="47" t="s">
        <v>101</v>
      </c>
      <c r="J260" s="47" t="s">
        <v>102</v>
      </c>
      <c r="K260" s="47" t="s">
        <v>103</v>
      </c>
      <c r="L260" s="47" t="s">
        <v>104</v>
      </c>
      <c r="M260" s="47" t="s">
        <v>105</v>
      </c>
      <c r="N260" s="47" t="s">
        <v>106</v>
      </c>
      <c r="O260" s="47" t="s">
        <v>107</v>
      </c>
      <c r="P260" s="47" t="s">
        <v>108</v>
      </c>
      <c r="Q260" s="47" t="s">
        <v>109</v>
      </c>
      <c r="R260" s="47" t="s">
        <v>110</v>
      </c>
      <c r="S260" s="47" t="s">
        <v>111</v>
      </c>
      <c r="T260" s="47" t="s">
        <v>112</v>
      </c>
      <c r="U260" s="47" t="s">
        <v>113</v>
      </c>
      <c r="V260" s="47" t="s">
        <v>114</v>
      </c>
      <c r="W260" s="47" t="s">
        <v>115</v>
      </c>
      <c r="X260" s="47" t="s">
        <v>116</v>
      </c>
      <c r="Y260" s="47" t="s">
        <v>117</v>
      </c>
      <c r="Z260" s="47" t="s">
        <v>118</v>
      </c>
      <c r="AA260" s="47" t="s">
        <v>119</v>
      </c>
      <c r="AB260" s="47" t="s">
        <v>120</v>
      </c>
      <c r="AC260" s="47" t="s">
        <v>121</v>
      </c>
      <c r="AD260" s="47" t="s">
        <v>122</v>
      </c>
      <c r="AE260" s="47" t="s">
        <v>123</v>
      </c>
      <c r="AF260" s="47" t="s">
        <v>124</v>
      </c>
      <c r="AG260" s="47" t="s">
        <v>125</v>
      </c>
      <c r="AH260" s="47" t="s">
        <v>126</v>
      </c>
    </row>
    <row r="261" spans="1:34">
      <c r="A261" s="47">
        <v>7</v>
      </c>
      <c r="B261" s="47" t="b">
        <v>1</v>
      </c>
      <c r="C261" s="47" t="e">
        <f>#REF!</f>
        <v>#REF!</v>
      </c>
      <c r="D261" s="47" t="e">
        <f>$C$261</f>
        <v>#REF!</v>
      </c>
      <c r="E261" s="47"/>
      <c r="F261" s="47"/>
      <c r="G261" s="47"/>
      <c r="H261" s="47"/>
      <c r="I261" s="47"/>
      <c r="J261" s="47"/>
      <c r="K261" s="47" t="e">
        <f>IF(COUNTIF(#REF!, "= 0")+ COUNTBLANK(#REF!) = 1,NA(),IF($B$261,$D$261,NA()))</f>
        <v>#REF!</v>
      </c>
      <c r="L261" s="47" t="e">
        <f>$D$261</f>
        <v>#REF!</v>
      </c>
      <c r="M261" s="47" t="e">
        <f>IF(COUNTIF(#REF!, "= 0")+ COUNTBLANK(#REF!) = 1,NA(),IF($B$261,NA(),IF($C$261&gt;= 0,$R$261,NA())))</f>
        <v>#REF!</v>
      </c>
      <c r="N261" s="47" t="e">
        <f>IF(COUNTIF(#REF!, "= 0")+ COUNTBLANK(#REF!) = 1,NA(),IF($B$261,NA(),IF($C$261&lt;= 0,$Q$261,NA())))</f>
        <v>#REF!</v>
      </c>
      <c r="O261" s="47" t="e">
        <f>$C$261</f>
        <v>#REF!</v>
      </c>
      <c r="P261" s="47" t="e">
        <f>$C$261</f>
        <v>#REF!</v>
      </c>
      <c r="Q261" s="47">
        <f>SUMIF($Z$261:$Z$261,"&lt;0")</f>
        <v>0</v>
      </c>
      <c r="R261" s="47">
        <f>SUMIF($Z$261:$Z$261,"&gt;0")</f>
        <v>0</v>
      </c>
      <c r="S261" s="47"/>
      <c r="T261" s="47"/>
      <c r="U261" s="47"/>
      <c r="V261" s="47"/>
      <c r="W261" s="47"/>
      <c r="X261" s="47"/>
      <c r="Y261" s="47" t="e">
        <f>$D$261</f>
        <v>#REF!</v>
      </c>
      <c r="Z261" s="47" t="e">
        <f>#REF!</f>
        <v>#REF!</v>
      </c>
      <c r="AA261" s="47">
        <v>0</v>
      </c>
      <c r="AB261" s="47">
        <v>0</v>
      </c>
      <c r="AC261" s="47"/>
      <c r="AD261" s="47"/>
      <c r="AE261" s="47">
        <f>IF($B$261,,IF($Z$261 &lt; 0,$Z$261,))</f>
        <v>0</v>
      </c>
      <c r="AF261" s="47">
        <f>IF($B$261,,IF($Z$261 &gt; 0,$Z$261,))</f>
        <v>0</v>
      </c>
      <c r="AG261" s="47"/>
      <c r="AH261" s="47" t="e">
        <f>IF($B$261,NA(),IF($Z$261 = 0,NA(),IF($Z$261 &gt; 0,$AB$261 + $Z$261/2,-$AA$261 + $Z$261/2)))</f>
        <v>#N/A</v>
      </c>
    </row>
    <row r="262" spans="1:34">
      <c r="A262" s="47"/>
      <c r="B262" s="47" t="b">
        <v>1</v>
      </c>
      <c r="C262" s="47" t="e">
        <f>#REF!</f>
        <v>#REF!</v>
      </c>
      <c r="D262" s="47" t="e">
        <f>SUM($D$261,$C$262)</f>
        <v>#REF!</v>
      </c>
      <c r="E262" s="47" t="e">
        <f>$D$261&gt;=0</f>
        <v>#REF!</v>
      </c>
      <c r="F262" s="47" t="e">
        <f>IF($B$262,AND($D$261&lt;=0,SUM($D$261,$C$262)&gt; 0),AND($D$261&lt;=0,SUM($D$261,$R$262)&gt; 0))</f>
        <v>#REF!</v>
      </c>
      <c r="G262" s="47" t="e">
        <f>IF($B$262,AND($D$261&gt;=0,SUM($D$261,$C$262)&lt; 0),AND($D$261&gt;=0,SUM($D$261,$Q$262)&lt; 0))</f>
        <v>#REF!</v>
      </c>
      <c r="H262" s="47" t="e">
        <f>OR($G$262,$F$262)</f>
        <v>#REF!</v>
      </c>
      <c r="I262" s="47" t="e">
        <f>IF($H$262,IF($G$262,"atb","bta"),IF($E$262,"nca","ncb"))</f>
        <v>#REF!</v>
      </c>
      <c r="J262" s="47" t="e">
        <f>IF($H$262,0,IF($B$262,IF($E$262,IF($C$262&gt;=0,$D$261,$D$261+$C$262),IF($C$262&gt;=0,$D$261+$C$262,$D$261)),IF($E$262,SUM($D$261,$Q$262),SUM($D$261,$R$262))))</f>
        <v>#REF!</v>
      </c>
      <c r="K262" s="47"/>
      <c r="L262" s="47"/>
      <c r="M262" s="47" t="e">
        <f>IF(COUNTIF(#REF!, "= 0")+ COUNTBLANK(#REF!) = 1,NA(),IF($B$262,NA(),IF($C$262&gt;=0,SUM($D$261,$R$262),NA())))</f>
        <v>#REF!</v>
      </c>
      <c r="N262" s="47" t="e">
        <f>IF(COUNTIF(#REF!, "= 0")+ COUNTBLANK(#REF!) = 1,NA(),IF($B$262,NA(),IF($C$262&gt;=0,NA(),SUM($D$261,$Q$262))))</f>
        <v>#REF!</v>
      </c>
      <c r="O262" s="47" t="e">
        <f>$C$262</f>
        <v>#REF!</v>
      </c>
      <c r="P262" s="47" t="e">
        <f>$C$262</f>
        <v>#REF!</v>
      </c>
      <c r="Q262" s="47">
        <f>SUMIF($Z$262:$Z$262,"&lt;0")</f>
        <v>0</v>
      </c>
      <c r="R262" s="47">
        <f>SUMIF($Z$262:$Z$262,"&gt;0")</f>
        <v>0</v>
      </c>
      <c r="S262" s="47" t="e">
        <f>IF($B$262,IF($I$262="nca",IF($C$262&gt;=0,0,ABS($C$262)),IF($I$262="ncb",0,IF($I$262="atb",IF($C$262&gt;=0,0,IF($D$261&lt;0,0,IF(ABS($C$262)&gt;$D$261,$D$261,ABS($C$262)))),IF($I$262="bta",0,"err")))),)</f>
        <v>#REF!</v>
      </c>
      <c r="T262" s="47" t="e">
        <f>IF($B$262,IF($I$262="nca",IF($C$262&lt;0,0,ABS($C$262)),IF($I$262="ncb",0,IF($I$262="atb",IF($C$262&lt;=0,0,$C$262),IF($I$262="bta",IF($C$262&lt;=0,0,$V$262+$C$262),"err")))),)</f>
        <v>#REF!</v>
      </c>
      <c r="U262" s="47" t="e">
        <f>IF($B$262,IF($I$262="nca",0,IF($I$262="ncb",IF($C$262&lt;=0,-ABS($C$262),0),IF($I$262="atb",IF($C$262&lt;0,$C$262+$S$262,0),IF($I$262="bta",IF($C$262&lt;=0,$C$262,0),"err")))),)</f>
        <v>#REF!</v>
      </c>
      <c r="V262" s="47" t="e">
        <f>IF($B$262,IF($I$262="nca",0,IF($I$262="ncb",IF($C$262&gt;=0,-ABS($C$262),0),IF($I$262="atb",0,IF($I$262="bta",IF($C$262&lt;=0,0,IF($D$261&gt;0,0,IF(ABS($C$262)&lt;ABS($D$261),-ABS($C$262),$D$261))),"err")))),)</f>
        <v>#REF!</v>
      </c>
      <c r="W262" s="47" t="e">
        <f>IF($C$262&gt;=0,IF($B$262,IF($C$262=0,NA(),$D$262),NA()),NA())</f>
        <v>#REF!</v>
      </c>
      <c r="X262" s="47" t="e">
        <f>IF($C$262&lt;0,IF($B$262,IF($C$262=0,NA(),$D$262),NA()),NA())</f>
        <v>#REF!</v>
      </c>
      <c r="Y262" s="47" t="e">
        <f>$D$261</f>
        <v>#REF!</v>
      </c>
      <c r="Z262" s="47" t="e">
        <f>#REF!</f>
        <v>#REF!</v>
      </c>
      <c r="AA262" s="47">
        <v>0</v>
      </c>
      <c r="AB262" s="47">
        <v>0</v>
      </c>
      <c r="AC262" s="47">
        <f>IF($B$262,,IF($I$262="nca",IF($Z$262&gt;=0,0,ABS($Z$262)),IF($I$262="ncb",0,IF($I$262="atb",IF($Z$262&gt;=0,0,IF($D$261-$AA$262&lt;0,0,IF(ABS($Z$262)&gt;$D$261-$AA$262,$D$261-$AA$262,ABS($Z$262)))),IF($I$262="bta",0,"err")))))</f>
        <v>0</v>
      </c>
      <c r="AD262" s="47">
        <f>IF($B$262,,IF($I$262="nca",0,IF($I$262="ncb",IF($Z$262&gt;=0,-ABS($Z$262),0),IF($I$262="atb",0,IF($I$262="bta",IF($Z$262&lt;=0,0,IF($D$261+$AB$262&gt;0,0,IF(ABS($Z$262)&lt;ABS($D$261+$AB$262),-ABS($Z$262),$D$261+$AB$262))),"err")))))</f>
        <v>0</v>
      </c>
      <c r="AE262" s="47">
        <f>IF($B$262,,IF($I$262="nca",0,IF($I$262="ncb",IF($Z$262&lt;=0,-ABS($Z$262),0),IF($I$262="atb",IF($Z$262&lt;0,$Z$262+$AC$262,0),IF($I$262="bta",IF($Z$262&lt;=0,$Z$262,0),"err")))))</f>
        <v>0</v>
      </c>
      <c r="AF262" s="47">
        <f>IF($B$262,,IF($I$262="nca",IF($Z$262&lt;0,0,ABS($Z$262)),IF($I$262="ncb",0,IF($I$262="atb",IF($Z$262&lt;=0,0,$Z$262),IF($I$262="bta",IF($Z$262&lt;=0,0,$AD$262+$Z$262),"err")))))</f>
        <v>0</v>
      </c>
      <c r="AG262" s="47" t="b">
        <f>IF(SUM(COUNTIFS($AF$262,"&lt;&gt;0",$AF$262,"&lt;&gt;"),COUNTIFS($AC$262,"&lt;&gt;0",$AC$262,"&lt;&gt;"),COUNTIFS($AD$262,"&lt;&gt;0",$AD$262,"&lt;&gt;"),COUNTIFS($AE$262,"&lt;&gt;0",$AE$262,"&lt;&gt;"))=2,TRUE,FALSE)</f>
        <v>0</v>
      </c>
      <c r="AH262" s="47" t="e">
        <f>IF($B$262,NA(),IF($Z$262=0,NA(),IF($AG$262,SUM($AC$262,$AF$262,$AD$262,$AE$262)/2,IF(OR($AF$262&lt;&gt;0,$AD$262&lt;&gt;0),$D$261+$AB$262,$D$261-$AA$262)+$Z$262/2)))</f>
        <v>#N/A</v>
      </c>
    </row>
    <row r="263" spans="1:34">
      <c r="A263" s="47"/>
      <c r="B263" s="47"/>
      <c r="C263" s="47" t="e">
        <f>#REF!</f>
        <v>#REF!</v>
      </c>
      <c r="D263" s="47" t="e">
        <f>SUM($D$262,$C$263)</f>
        <v>#REF!</v>
      </c>
      <c r="E263" s="47" t="e">
        <f>$D$262&gt;=0</f>
        <v>#REF!</v>
      </c>
      <c r="F263" s="47" t="e">
        <f>IF($B$262,AND($D$262&lt;=0,SUM($D$262,$C$263)&gt; 0),AND($D$262&lt;=0,SUM($D$262,$R$263)&gt; 0))</f>
        <v>#REF!</v>
      </c>
      <c r="G263" s="47" t="e">
        <f>IF($B$262,AND($D$262&gt;=0,SUM($D$262,$C$263)&lt; 0),AND($D$262&gt;=0,SUM($D$262,$Q$263)&lt; 0))</f>
        <v>#REF!</v>
      </c>
      <c r="H263" s="47" t="e">
        <f>OR($G$263,$F$263)</f>
        <v>#REF!</v>
      </c>
      <c r="I263" s="47" t="e">
        <f>IF($H$263,IF($G$263,"atb","bta"),IF($E$263,"nca","ncb"))</f>
        <v>#REF!</v>
      </c>
      <c r="J263" s="47" t="e">
        <f>IF($H$263,0,IF($B$262,IF($E$263,IF($C$263&gt;=0,$D$262,$D$262+$C$263),IF($C$263&gt;=0,$D$262+$C$263,$D$262)),IF($E$263,SUM($D$262,$Q$263),SUM($D$262,$R$263))))</f>
        <v>#REF!</v>
      </c>
      <c r="K263" s="47"/>
      <c r="L263" s="47"/>
      <c r="M263" s="47" t="e">
        <f>IF(COUNTIF(#REF!, "= 0")+ COUNTBLANK(#REF!) = 1,NA(),IF($B$262,NA(),IF($C$263&gt;=0,SUM($D$262,$R$263),NA())))</f>
        <v>#REF!</v>
      </c>
      <c r="N263" s="47" t="e">
        <f>IF(COUNTIF(#REF!, "= 0")+ COUNTBLANK(#REF!) = 1,NA(),IF($B$262,NA(),IF($C$263&gt;=0,NA(),SUM($D$262,$Q$263))))</f>
        <v>#REF!</v>
      </c>
      <c r="O263" s="47" t="e">
        <f>$C$263</f>
        <v>#REF!</v>
      </c>
      <c r="P263" s="47" t="e">
        <f>$C$263</f>
        <v>#REF!</v>
      </c>
      <c r="Q263" s="47">
        <f>SUMIF($Z$263:$Z$263,"&lt;0")</f>
        <v>0</v>
      </c>
      <c r="R263" s="47">
        <f>SUMIF($Z$263:$Z$263,"&gt;0")</f>
        <v>0</v>
      </c>
      <c r="S263" s="47" t="e">
        <f>IF($B$262,IF($I$263="nca",IF($C$263&gt;=0,0,ABS($C$263)),IF($I$263="ncb",0,IF($I$263="atb",IF($C$263&gt;=0,0,IF($D$262&lt;0,0,IF(ABS($C$263)&gt;$D$262,$D$262,ABS($C$263)))),IF($I$263="bta",0,"err")))),)</f>
        <v>#REF!</v>
      </c>
      <c r="T263" s="47" t="e">
        <f>IF($B$262,IF($I$263="nca",IF($C$263&lt;0,0,ABS($C$263)),IF($I$263="ncb",0,IF($I$263="atb",IF($C$263&lt;=0,0,$C$263),IF($I$263="bta",IF($C$263&lt;=0,0,$V$263+$C$263),"err")))),)</f>
        <v>#REF!</v>
      </c>
      <c r="U263" s="47" t="e">
        <f>IF($B$262,IF($I$263="nca",0,IF($I$263="ncb",IF($C$263&lt;=0,-ABS($C$263),0),IF($I$263="atb",IF($C$263&lt;0,$C$263+$S$263,0),IF($I$263="bta",IF($C$263&lt;=0,$C$263,0),"err")))),)</f>
        <v>#REF!</v>
      </c>
      <c r="V263" s="47" t="e">
        <f>IF($B$262,IF($I$263="nca",0,IF($I$263="ncb",IF($C$263&gt;=0,-ABS($C$263),0),IF($I$263="atb",0,IF($I$263="bta",IF($C$263&lt;=0,0,IF($D$262&gt;0,0,IF(ABS($C$263)&lt;ABS($D$262),-ABS($C$263),$D$262))),"err")))),)</f>
        <v>#REF!</v>
      </c>
      <c r="W263" s="47" t="e">
        <f>IF($C$263&gt;=0,IF($B$262,IF($C$263=0,NA(),$D$263),NA()),NA())</f>
        <v>#REF!</v>
      </c>
      <c r="X263" s="47" t="e">
        <f>IF($C$263&lt;0,IF($B$262,IF($C$263=0,NA(),$D$263),NA()),NA())</f>
        <v>#REF!</v>
      </c>
      <c r="Y263" s="47" t="e">
        <f>IF(IF($B$262,$C$262 = 0,COUNTIF(#REF!, "= 0")+ COUNTBLANK(#REF!) = 1),$Y$262,NA())</f>
        <v>#REF!</v>
      </c>
      <c r="Z263" s="47" t="e">
        <f>#REF!</f>
        <v>#REF!</v>
      </c>
      <c r="AA263" s="47">
        <v>0</v>
      </c>
      <c r="AB263" s="47">
        <v>0</v>
      </c>
      <c r="AC263" s="47">
        <f>IF($B$262,,IF($I$263="nca",IF($Z$263&gt;=0,0,ABS($Z$263)),IF($I$263="ncb",0,IF($I$263="atb",IF($Z$263&gt;=0,0,IF($D$262-$AA$263&lt;0,0,IF(ABS($Z$263)&gt;$D$262-$AA$263,$D$262-$AA$263,ABS($Z$263)))),IF($I$263="bta",0,"err")))))</f>
        <v>0</v>
      </c>
      <c r="AD263" s="47">
        <f>IF($B$262,,IF($I$263="nca",0,IF($I$263="ncb",IF($Z$263&gt;=0,-ABS($Z$263),0),IF($I$263="atb",0,IF($I$263="bta",IF($Z$263&lt;=0,0,IF($D$262+$AB$263&gt;0,0,IF(ABS($Z$263)&lt;ABS($D$262+$AB$263),-ABS($Z$263),$D$262+$AB$263))),"err")))))</f>
        <v>0</v>
      </c>
      <c r="AE263" s="47">
        <f>IF($B$262,,IF($I$263="nca",0,IF($I$263="ncb",IF($Z$263&lt;=0,-ABS($Z$263),0),IF($I$263="atb",IF($Z$263&lt;0,$Z$263+$AC$263,0),IF($I$263="bta",IF($Z$263&lt;=0,$Z$263,0),"err")))))</f>
        <v>0</v>
      </c>
      <c r="AF263" s="47">
        <f>IF($B$262,,IF($I$263="nca",IF($Z$263&lt;0,0,ABS($Z$263)),IF($I$263="ncb",0,IF($I$263="atb",IF($Z$263&lt;=0,0,$Z$263),IF($I$263="bta",IF($Z$263&lt;=0,0,$AD$263+$Z$263),"err")))))</f>
        <v>0</v>
      </c>
      <c r="AG263" s="47" t="b">
        <f>IF(SUM(COUNTIFS($AF$263,"&lt;&gt;0",$AF$263,"&lt;&gt;"),COUNTIFS($AC$263,"&lt;&gt;0",$AC$263,"&lt;&gt;"),COUNTIFS($AD$263,"&lt;&gt;0",$AD$263,"&lt;&gt;"),COUNTIFS($AE$263,"&lt;&gt;0",$AE$263,"&lt;&gt;"))=2,TRUE,FALSE)</f>
        <v>0</v>
      </c>
      <c r="AH263" s="47" t="e">
        <f>IF($B$262,NA(),IF($Z$263=0,NA(),IF($AG$263,SUM($AC$263,$AF$263,$AD$263,$AE$263)/2,IF(OR($AF$263&lt;&gt;0,$AD$263&lt;&gt;0),$D$262+$AB$263,$D$262-$AA$263)+$Z$263/2)))</f>
        <v>#N/A</v>
      </c>
    </row>
    <row r="264" spans="1:34">
      <c r="A264" s="47"/>
      <c r="B264" s="47"/>
      <c r="C264" s="47" t="e">
        <f>#REF!</f>
        <v>#REF!</v>
      </c>
      <c r="D264" s="47" t="e">
        <f>$C$264</f>
        <v>#REF!</v>
      </c>
      <c r="E264" s="47"/>
      <c r="F264" s="47"/>
      <c r="G264" s="47"/>
      <c r="H264" s="47"/>
      <c r="I264" s="47"/>
      <c r="J264" s="47"/>
      <c r="K264" s="47" t="e">
        <f>IF(COUNTIF(#REF!, "= 0")+ COUNTBLANK(#REF!) = 1,NA(),IF($B$261,$D$264,NA()))</f>
        <v>#REF!</v>
      </c>
      <c r="L264" s="47" t="e">
        <f>$D$264</f>
        <v>#REF!</v>
      </c>
      <c r="M264" s="47" t="e">
        <f>IF(COUNTIF(#REF!, "= 0")+ COUNTBLANK(#REF!) = 1,NA(),IF($B$261,NA(),IF($C$264&gt;= 0,$R$264,NA())))</f>
        <v>#REF!</v>
      </c>
      <c r="N264" s="47" t="e">
        <f>IF(COUNTIF(#REF!, "= 0")+ COUNTBLANK(#REF!) = 1,NA(),IF($B$261,NA(),IF($C$264&lt;= 0,$Q$264,NA())))</f>
        <v>#REF!</v>
      </c>
      <c r="O264" s="47" t="e">
        <f>$C$264</f>
        <v>#REF!</v>
      </c>
      <c r="P264" s="47" t="e">
        <f>$C$264</f>
        <v>#REF!</v>
      </c>
      <c r="Q264" s="47">
        <f>SUMIF($Z$264:$Z$264,"&lt;0")</f>
        <v>0</v>
      </c>
      <c r="R264" s="47">
        <f>SUMIF($Z$264:$Z$264,"&gt;0")</f>
        <v>0</v>
      </c>
      <c r="S264" s="47"/>
      <c r="T264" s="47"/>
      <c r="U264" s="47"/>
      <c r="V264" s="47"/>
      <c r="W264" s="47"/>
      <c r="X264" s="47"/>
      <c r="Y264" s="47" t="e">
        <f>$D$262</f>
        <v>#REF!</v>
      </c>
      <c r="Z264" s="47" t="e">
        <f>#REF!</f>
        <v>#REF!</v>
      </c>
      <c r="AA264" s="47">
        <v>0</v>
      </c>
      <c r="AB264" s="47">
        <v>0</v>
      </c>
      <c r="AC264" s="47"/>
      <c r="AD264" s="47"/>
      <c r="AE264" s="47">
        <f>IF($B$261,,IF($Z$264 &lt; 0,$Z$264,))</f>
        <v>0</v>
      </c>
      <c r="AF264" s="47">
        <f>IF($B$261,,IF($Z$264 &gt; 0,$Z$264,))</f>
        <v>0</v>
      </c>
      <c r="AG264" s="47"/>
      <c r="AH264" s="47" t="e">
        <f>IF($B$261,NA(),IF($Z$264 = 0,NA(),IF($Z$264 &gt; 0,$AB$264 + $Z$264/2,-$AA$264 + $Z$264/2)))</f>
        <v>#N/A</v>
      </c>
    </row>
    <row r="265" spans="1:34">
      <c r="A265" s="47"/>
      <c r="B265" s="47"/>
      <c r="C265" s="47" t="e">
        <f>#REF!</f>
        <v>#REF!</v>
      </c>
      <c r="D265" s="47" t="e">
        <f>SUM($D$264,$C$265)</f>
        <v>#REF!</v>
      </c>
      <c r="E265" s="47" t="e">
        <f>$D$264&gt;=0</f>
        <v>#REF!</v>
      </c>
      <c r="F265" s="47" t="e">
        <f>IF($B$262,AND($D$264&lt;=0,SUM($D$264,$C$265)&gt; 0),AND($D$264&lt;=0,SUM($D$264,$R$265)&gt; 0))</f>
        <v>#REF!</v>
      </c>
      <c r="G265" s="47" t="e">
        <f>IF($B$262,AND($D$264&gt;=0,SUM($D$264,$C$265)&lt; 0),AND($D$264&gt;=0,SUM($D$264,$Q$265)&lt; 0))</f>
        <v>#REF!</v>
      </c>
      <c r="H265" s="47" t="e">
        <f>OR($G$265,$F$265)</f>
        <v>#REF!</v>
      </c>
      <c r="I265" s="47" t="e">
        <f>IF($H$265,IF($G$265,"atb","bta"),IF($E$265,"nca","ncb"))</f>
        <v>#REF!</v>
      </c>
      <c r="J265" s="47" t="e">
        <f>IF($H$265,0,IF($B$262,IF($E$265,IF($C$265&gt;=0,$D$264,$D$264+$C$265),IF($C$265&gt;=0,$D$264+$C$265,$D$264)),IF($E$265,SUM($D$264,$Q$265),SUM($D$264,$R$265))))</f>
        <v>#REF!</v>
      </c>
      <c r="K265" s="47"/>
      <c r="L265" s="47"/>
      <c r="M265" s="47" t="e">
        <f>IF(COUNTIF(#REF!, "= 0")+ COUNTBLANK(#REF!) = 1,NA(),IF($B$262,NA(),IF($C$265&gt;=0,SUM($D$264,$R$265),NA())))</f>
        <v>#REF!</v>
      </c>
      <c r="N265" s="47" t="e">
        <f>IF(COUNTIF(#REF!, "= 0")+ COUNTBLANK(#REF!) = 1,NA(),IF($B$262,NA(),IF($C$265&gt;=0,NA(),SUM($D$264,$Q$265))))</f>
        <v>#REF!</v>
      </c>
      <c r="O265" s="47" t="e">
        <f>$C$265</f>
        <v>#REF!</v>
      </c>
      <c r="P265" s="47" t="e">
        <f>$C$265</f>
        <v>#REF!</v>
      </c>
      <c r="Q265" s="47">
        <f>SUMIF($Z$265:$Z$265,"&lt;0")</f>
        <v>0</v>
      </c>
      <c r="R265" s="47">
        <f>SUMIF($Z$265:$Z$265,"&gt;0")</f>
        <v>0</v>
      </c>
      <c r="S265" s="47" t="e">
        <f>IF($B$262,IF($I$265="nca",IF($C$265&gt;=0,0,ABS($C$265)),IF($I$265="ncb",0,IF($I$265="atb",IF($C$265&gt;=0,0,IF($D$264&lt;0,0,IF(ABS($C$265)&gt;$D$264,$D$264,ABS($C$265)))),IF($I$265="bta",0,"err")))),)</f>
        <v>#REF!</v>
      </c>
      <c r="T265" s="47" t="e">
        <f>IF($B$262,IF($I$265="nca",IF($C$265&lt;0,0,ABS($C$265)),IF($I$265="ncb",0,IF($I$265="atb",IF($C$265&lt;=0,0,$C$265),IF($I$265="bta",IF($C$265&lt;=0,0,$V$265+$C$265),"err")))),)</f>
        <v>#REF!</v>
      </c>
      <c r="U265" s="47" t="e">
        <f>IF($B$262,IF($I$265="nca",0,IF($I$265="ncb",IF($C$265&lt;=0,-ABS($C$265),0),IF($I$265="atb",IF($C$265&lt;0,$C$265+$S$265,0),IF($I$265="bta",IF($C$265&lt;=0,$C$265,0),"err")))),)</f>
        <v>#REF!</v>
      </c>
      <c r="V265" s="47" t="e">
        <f>IF($B$262,IF($I$265="nca",0,IF($I$265="ncb",IF($C$265&gt;=0,-ABS($C$265),0),IF($I$265="atb",0,IF($I$265="bta",IF($C$265&lt;=0,0,IF($D$264&gt;0,0,IF(ABS($C$265)&lt;ABS($D$264),-ABS($C$265),$D$264))),"err")))),)</f>
        <v>#REF!</v>
      </c>
      <c r="W265" s="47" t="e">
        <f>IF($C$265&gt;=0,IF($B$262,IF($C$265=0,NA(),$D$265),NA()),NA())</f>
        <v>#REF!</v>
      </c>
      <c r="X265" s="47" t="e">
        <f>IF($C$265&lt;0,IF($B$262,IF($C$265=0,NA(),$D$265),NA()),NA())</f>
        <v>#REF!</v>
      </c>
      <c r="Y265" s="47" t="e">
        <f>$D$262</f>
        <v>#REF!</v>
      </c>
      <c r="Z265" s="47" t="e">
        <f>#REF!</f>
        <v>#REF!</v>
      </c>
      <c r="AA265" s="47">
        <v>0</v>
      </c>
      <c r="AB265" s="47">
        <v>0</v>
      </c>
      <c r="AC265" s="47">
        <f>IF($B$262,,IF($I$265="nca",IF($Z$265&gt;=0,0,ABS($Z$265)),IF($I$265="ncb",0,IF($I$265="atb",IF($Z$265&gt;=0,0,IF($D$264-$AA$265&lt;0,0,IF(ABS($Z$265)&gt;$D$264-$AA$265,$D$264-$AA$265,ABS($Z$265)))),IF($I$265="bta",0,"err")))))</f>
        <v>0</v>
      </c>
      <c r="AD265" s="47">
        <f>IF($B$262,,IF($I$265="nca",0,IF($I$265="ncb",IF($Z$265&gt;=0,-ABS($Z$265),0),IF($I$265="atb",0,IF($I$265="bta",IF($Z$265&lt;=0,0,IF($D$264+$AB$265&gt;0,0,IF(ABS($Z$265)&lt;ABS($D$264+$AB$265),-ABS($Z$265),$D$264+$AB$265))),"err")))))</f>
        <v>0</v>
      </c>
      <c r="AE265" s="47">
        <f>IF($B$262,,IF($I$265="nca",0,IF($I$265="ncb",IF($Z$265&lt;=0,-ABS($Z$265),0),IF($I$265="atb",IF($Z$265&lt;0,$Z$265+$AC$265,0),IF($I$265="bta",IF($Z$265&lt;=0,$Z$265,0),"err")))))</f>
        <v>0</v>
      </c>
      <c r="AF265" s="47">
        <f>IF($B$262,,IF($I$265="nca",IF($Z$265&lt;0,0,ABS($Z$265)),IF($I$265="ncb",0,IF($I$265="atb",IF($Z$265&lt;=0,0,$Z$265),IF($I$265="bta",IF($Z$265&lt;=0,0,$AD$265+$Z$265),"err")))))</f>
        <v>0</v>
      </c>
      <c r="AG265" s="47" t="b">
        <f>IF(SUM(COUNTIFS($AF$265,"&lt;&gt;0",$AF$265,"&lt;&gt;"),COUNTIFS($AC$265,"&lt;&gt;0",$AC$265,"&lt;&gt;"),COUNTIFS($AD$265,"&lt;&gt;0",$AD$265,"&lt;&gt;"),COUNTIFS($AE$265,"&lt;&gt;0",$AE$265,"&lt;&gt;"))=2,TRUE,FALSE)</f>
        <v>0</v>
      </c>
      <c r="AH265" s="47" t="e">
        <f>IF($B$262,NA(),IF($Z$265=0,NA(),IF($AG$265,SUM($AC$265,$AF$265,$AD$265,$AE$265)/2,IF(OR($AF$265&lt;&gt;0,$AD$265&lt;&gt;0),$D$264+$AB$265,$D$264-$AA$265)+$Z$265/2)))</f>
        <v>#N/A</v>
      </c>
    </row>
    <row r="266" spans="1:34">
      <c r="A266" s="47"/>
      <c r="B266" s="47"/>
      <c r="C266" s="47" t="e">
        <f>#REF!</f>
        <v>#REF!</v>
      </c>
      <c r="D266" s="47" t="e">
        <f>SUM($D$265,$C$266)</f>
        <v>#REF!</v>
      </c>
      <c r="E266" s="47" t="e">
        <f>$D$265&gt;=0</f>
        <v>#REF!</v>
      </c>
      <c r="F266" s="47" t="e">
        <f>IF($B$262,AND($D$265&lt;=0,SUM($D$265,$C$266)&gt; 0),AND($D$265&lt;=0,SUM($D$265,$R$266)&gt; 0))</f>
        <v>#REF!</v>
      </c>
      <c r="G266" s="47" t="e">
        <f>IF($B$262,AND($D$265&gt;=0,SUM($D$265,$C$266)&lt; 0),AND($D$265&gt;=0,SUM($D$265,$Q$266)&lt; 0))</f>
        <v>#REF!</v>
      </c>
      <c r="H266" s="47" t="e">
        <f>OR($G$266,$F$266)</f>
        <v>#REF!</v>
      </c>
      <c r="I266" s="47" t="e">
        <f>IF($H$266,IF($G$266,"atb","bta"),IF($E$266,"nca","ncb"))</f>
        <v>#REF!</v>
      </c>
      <c r="J266" s="47" t="e">
        <f>IF($H$266,0,IF($B$262,IF($E$266,IF($C$266&gt;=0,$D$265,$D$265+$C$266),IF($C$266&gt;=0,$D$265+$C$266,$D$265)),IF($E$266,SUM($D$265,$Q$266),SUM($D$265,$R$266))))</f>
        <v>#REF!</v>
      </c>
      <c r="K266" s="47"/>
      <c r="L266" s="47"/>
      <c r="M266" s="47" t="e">
        <f>IF(COUNTIF(#REF!, "= 0")+ COUNTBLANK(#REF!) = 1,NA(),IF($B$262,NA(),IF($C$266&gt;=0,SUM($D$265,$R$266),NA())))</f>
        <v>#REF!</v>
      </c>
      <c r="N266" s="47" t="e">
        <f>IF(COUNTIF(#REF!, "= 0")+ COUNTBLANK(#REF!) = 1,NA(),IF($B$262,NA(),IF($C$266&gt;=0,NA(),SUM($D$265,$Q$266))))</f>
        <v>#REF!</v>
      </c>
      <c r="O266" s="47" t="e">
        <f>$C$266</f>
        <v>#REF!</v>
      </c>
      <c r="P266" s="47" t="e">
        <f>$C$266</f>
        <v>#REF!</v>
      </c>
      <c r="Q266" s="47">
        <f>SUMIF($Z$266:$Z$266,"&lt;0")</f>
        <v>0</v>
      </c>
      <c r="R266" s="47">
        <f>SUMIF($Z$266:$Z$266,"&gt;0")</f>
        <v>0</v>
      </c>
      <c r="S266" s="47" t="e">
        <f>IF($B$262,IF($I$266="nca",IF($C$266&gt;=0,0,ABS($C$266)),IF($I$266="ncb",0,IF($I$266="atb",IF($C$266&gt;=0,0,IF($D$265&lt;0,0,IF(ABS($C$266)&gt;$D$265,$D$265,ABS($C$266)))),IF($I$266="bta",0,"err")))),)</f>
        <v>#REF!</v>
      </c>
      <c r="T266" s="47" t="e">
        <f>IF($B$262,IF($I$266="nca",IF($C$266&lt;0,0,ABS($C$266)),IF($I$266="ncb",0,IF($I$266="atb",IF($C$266&lt;=0,0,$C$266),IF($I$266="bta",IF($C$266&lt;=0,0,$V$266+$C$266),"err")))),)</f>
        <v>#REF!</v>
      </c>
      <c r="U266" s="47" t="e">
        <f>IF($B$262,IF($I$266="nca",0,IF($I$266="ncb",IF($C$266&lt;=0,-ABS($C$266),0),IF($I$266="atb",IF($C$266&lt;0,$C$266+$S$266,0),IF($I$266="bta",IF($C$266&lt;=0,$C$266,0),"err")))),)</f>
        <v>#REF!</v>
      </c>
      <c r="V266" s="47" t="e">
        <f>IF($B$262,IF($I$266="nca",0,IF($I$266="ncb",IF($C$266&gt;=0,-ABS($C$266),0),IF($I$266="atb",0,IF($I$266="bta",IF($C$266&lt;=0,0,IF($D$265&gt;0,0,IF(ABS($C$266)&lt;ABS($D$265),-ABS($C$266),$D$265))),"err")))),)</f>
        <v>#REF!</v>
      </c>
      <c r="W266" s="47" t="e">
        <f>IF($C$266&gt;=0,IF($B$262,IF($C$266=0,NA(),$D$266),NA()),NA())</f>
        <v>#REF!</v>
      </c>
      <c r="X266" s="47" t="e">
        <f>IF($C$266&lt;0,IF($B$262,IF($C$266=0,NA(),$D$266),NA()),NA())</f>
        <v>#REF!</v>
      </c>
      <c r="Y266" s="47" t="e">
        <f>IF(IF($B$262,$C$263 = 0,COUNTIF(#REF!, "= 0")+ COUNTBLANK(#REF!) = 1),$Y$265,NA())</f>
        <v>#REF!</v>
      </c>
      <c r="Z266" s="47" t="e">
        <f>#REF!</f>
        <v>#REF!</v>
      </c>
      <c r="AA266" s="47">
        <v>0</v>
      </c>
      <c r="AB266" s="47">
        <v>0</v>
      </c>
      <c r="AC266" s="47">
        <f>IF($B$262,,IF($I$266="nca",IF($Z$266&gt;=0,0,ABS($Z$266)),IF($I$266="ncb",0,IF($I$266="atb",IF($Z$266&gt;=0,0,IF($D$265-$AA$266&lt;0,0,IF(ABS($Z$266)&gt;$D$265-$AA$266,$D$265-$AA$266,ABS($Z$266)))),IF($I$266="bta",0,"err")))))</f>
        <v>0</v>
      </c>
      <c r="AD266" s="47">
        <f>IF($B$262,,IF($I$266="nca",0,IF($I$266="ncb",IF($Z$266&gt;=0,-ABS($Z$266),0),IF($I$266="atb",0,IF($I$266="bta",IF($Z$266&lt;=0,0,IF($D$265+$AB$266&gt;0,0,IF(ABS($Z$266)&lt;ABS($D$265+$AB$266),-ABS($Z$266),$D$265+$AB$266))),"err")))))</f>
        <v>0</v>
      </c>
      <c r="AE266" s="47">
        <f>IF($B$262,,IF($I$266="nca",0,IF($I$266="ncb",IF($Z$266&lt;=0,-ABS($Z$266),0),IF($I$266="atb",IF($Z$266&lt;0,$Z$266+$AC$266,0),IF($I$266="bta",IF($Z$266&lt;=0,$Z$266,0),"err")))))</f>
        <v>0</v>
      </c>
      <c r="AF266" s="47">
        <f>IF($B$262,,IF($I$266="nca",IF($Z$266&lt;0,0,ABS($Z$266)),IF($I$266="ncb",0,IF($I$266="atb",IF($Z$266&lt;=0,0,$Z$266),IF($I$266="bta",IF($Z$266&lt;=0,0,$AD$266+$Z$266),"err")))))</f>
        <v>0</v>
      </c>
      <c r="AG266" s="47" t="b">
        <f>IF(SUM(COUNTIFS($AF$266,"&lt;&gt;0",$AF$266,"&lt;&gt;"),COUNTIFS($AC$266,"&lt;&gt;0",$AC$266,"&lt;&gt;"),COUNTIFS($AD$266,"&lt;&gt;0",$AD$266,"&lt;&gt;"),COUNTIFS($AE$266,"&lt;&gt;0",$AE$266,"&lt;&gt;"))=2,TRUE,FALSE)</f>
        <v>0</v>
      </c>
      <c r="AH266" s="47" t="e">
        <f>IF($B$262,NA(),IF($Z$266=0,NA(),IF($AG$266,SUM($AC$266,$AF$266,$AD$266,$AE$266)/2,IF(OR($AF$266&lt;&gt;0,$AD$266&lt;&gt;0),$D$265+$AB$266,$D$265-$AA$266)+$Z$266/2)))</f>
        <v>#N/A</v>
      </c>
    </row>
    <row r="267" spans="1:34">
      <c r="A267" s="47"/>
      <c r="B267" s="47"/>
      <c r="C267" s="47" t="e">
        <f>#REF!</f>
        <v>#REF!</v>
      </c>
      <c r="D267" s="47" t="e">
        <f>SUM($D$266,$C$267)</f>
        <v>#REF!</v>
      </c>
      <c r="E267" s="47" t="e">
        <f>$D$266&gt;=0</f>
        <v>#REF!</v>
      </c>
      <c r="F267" s="47" t="e">
        <f>IF($B$262,AND($D$266&lt;=0,SUM($D$266,$C$267)&gt; 0),AND($D$266&lt;=0,SUM($D$266,$R$267)&gt; 0))</f>
        <v>#REF!</v>
      </c>
      <c r="G267" s="47" t="e">
        <f>IF($B$262,AND($D$266&gt;=0,SUM($D$266,$C$267)&lt; 0),AND($D$266&gt;=0,SUM($D$266,$Q$267)&lt; 0))</f>
        <v>#REF!</v>
      </c>
      <c r="H267" s="47" t="e">
        <f>OR($G$267,$F$267)</f>
        <v>#REF!</v>
      </c>
      <c r="I267" s="47" t="e">
        <f>IF($H$267,IF($G$267,"atb","bta"),IF($E$267,"nca","ncb"))</f>
        <v>#REF!</v>
      </c>
      <c r="J267" s="47" t="e">
        <f>IF($H$267,0,IF($B$262,IF($E$267,IF($C$267&gt;=0,$D$266,$D$266+$C$267),IF($C$267&gt;=0,$D$266+$C$267,$D$266)),IF($E$267,SUM($D$266,$Q$267),SUM($D$266,$R$267))))</f>
        <v>#REF!</v>
      </c>
      <c r="K267" s="47"/>
      <c r="L267" s="47"/>
      <c r="M267" s="47" t="e">
        <f>IF(COUNTIF(#REF!, "= 0")+ COUNTBLANK(#REF!) = 1,NA(),IF($B$262,NA(),IF($C$267&gt;=0,SUM($D$266,$R$267),NA())))</f>
        <v>#REF!</v>
      </c>
      <c r="N267" s="47" t="e">
        <f>IF(COUNTIF(#REF!, "= 0")+ COUNTBLANK(#REF!) = 1,NA(),IF($B$262,NA(),IF($C$267&gt;=0,NA(),SUM($D$266,$Q$267))))</f>
        <v>#REF!</v>
      </c>
      <c r="O267" s="47" t="e">
        <f>$C$267</f>
        <v>#REF!</v>
      </c>
      <c r="P267" s="47" t="e">
        <f>$C$267</f>
        <v>#REF!</v>
      </c>
      <c r="Q267" s="47">
        <f>SUMIF($Z$267:$Z$267,"&lt;0")</f>
        <v>0</v>
      </c>
      <c r="R267" s="47">
        <f>SUMIF($Z$267:$Z$267,"&gt;0")</f>
        <v>0</v>
      </c>
      <c r="S267" s="47" t="e">
        <f>IF($B$262,IF($I$267="nca",IF($C$267&gt;=0,0,ABS($C$267)),IF($I$267="ncb",0,IF($I$267="atb",IF($C$267&gt;=0,0,IF($D$266&lt;0,0,IF(ABS($C$267)&gt;$D$266,$D$266,ABS($C$267)))),IF($I$267="bta",0,"err")))),)</f>
        <v>#REF!</v>
      </c>
      <c r="T267" s="47" t="e">
        <f>IF($B$262,IF($I$267="nca",IF($C$267&lt;0,0,ABS($C$267)),IF($I$267="ncb",0,IF($I$267="atb",IF($C$267&lt;=0,0,$C$267),IF($I$267="bta",IF($C$267&lt;=0,0,$V$267+$C$267),"err")))),)</f>
        <v>#REF!</v>
      </c>
      <c r="U267" s="47" t="e">
        <f>IF($B$262,IF($I$267="nca",0,IF($I$267="ncb",IF($C$267&lt;=0,-ABS($C$267),0),IF($I$267="atb",IF($C$267&lt;0,$C$267+$S$267,0),IF($I$267="bta",IF($C$267&lt;=0,$C$267,0),"err")))),)</f>
        <v>#REF!</v>
      </c>
      <c r="V267" s="47" t="e">
        <f>IF($B$262,IF($I$267="nca",0,IF($I$267="ncb",IF($C$267&gt;=0,-ABS($C$267),0),IF($I$267="atb",0,IF($I$267="bta",IF($C$267&lt;=0,0,IF($D$266&gt;0,0,IF(ABS($C$267)&lt;ABS($D$266),-ABS($C$267),$D$266))),"err")))),)</f>
        <v>#REF!</v>
      </c>
      <c r="W267" s="47" t="e">
        <f>IF($C$267&gt;=0,IF($B$262,IF($C$267=0,NA(),$D$267),NA()),NA())</f>
        <v>#REF!</v>
      </c>
      <c r="X267" s="47" t="e">
        <f>IF($C$267&lt;0,IF($B$262,IF($C$267=0,NA(),$D$267),NA()),NA())</f>
        <v>#REF!</v>
      </c>
      <c r="Y267" s="47" t="e">
        <f>$D$263</f>
        <v>#REF!</v>
      </c>
      <c r="Z267" s="47" t="e">
        <f>#REF!</f>
        <v>#REF!</v>
      </c>
      <c r="AA267" s="47">
        <v>0</v>
      </c>
      <c r="AB267" s="47">
        <v>0</v>
      </c>
      <c r="AC267" s="47">
        <f>IF($B$262,,IF($I$267="nca",IF($Z$267&gt;=0,0,ABS($Z$267)),IF($I$267="ncb",0,IF($I$267="atb",IF($Z$267&gt;=0,0,IF($D$266-$AA$267&lt;0,0,IF(ABS($Z$267)&gt;$D$266-$AA$267,$D$266-$AA$267,ABS($Z$267)))),IF($I$267="bta",0,"err")))))</f>
        <v>0</v>
      </c>
      <c r="AD267" s="47">
        <f>IF($B$262,,IF($I$267="nca",0,IF($I$267="ncb",IF($Z$267&gt;=0,-ABS($Z$267),0),IF($I$267="atb",0,IF($I$267="bta",IF($Z$267&lt;=0,0,IF($D$266+$AB$267&gt;0,0,IF(ABS($Z$267)&lt;ABS($D$266+$AB$267),-ABS($Z$267),$D$266+$AB$267))),"err")))))</f>
        <v>0</v>
      </c>
      <c r="AE267" s="47">
        <f>IF($B$262,,IF($I$267="nca",0,IF($I$267="ncb",IF($Z$267&lt;=0,-ABS($Z$267),0),IF($I$267="atb",IF($Z$267&lt;0,$Z$267+$AC$267,0),IF($I$267="bta",IF($Z$267&lt;=0,$Z$267,0),"err")))))</f>
        <v>0</v>
      </c>
      <c r="AF267" s="47">
        <f>IF($B$262,,IF($I$267="nca",IF($Z$267&lt;0,0,ABS($Z$267)),IF($I$267="ncb",0,IF($I$267="atb",IF($Z$267&lt;=0,0,$Z$267),IF($I$267="bta",IF($Z$267&lt;=0,0,$AD$267+$Z$267),"err")))))</f>
        <v>0</v>
      </c>
      <c r="AG267" s="47" t="b">
        <f>IF(SUM(COUNTIFS($AF$267,"&lt;&gt;0",$AF$267,"&lt;&gt;"),COUNTIFS($AC$267,"&lt;&gt;0",$AC$267,"&lt;&gt;"),COUNTIFS($AD$267,"&lt;&gt;0",$AD$267,"&lt;&gt;"),COUNTIFS($AE$267,"&lt;&gt;0",$AE$267,"&lt;&gt;"))=2,TRUE,FALSE)</f>
        <v>0</v>
      </c>
      <c r="AH267" s="47" t="e">
        <f>IF($B$262,NA(),IF($Z$267=0,NA(),IF($AG$267,SUM($AC$267,$AF$267,$AD$267,$AE$267)/2,IF(OR($AF$267&lt;&gt;0,$AD$267&lt;&gt;0),$D$266+$AB$267,$D$266-$AA$267)+$Z$267/2)))</f>
        <v>#N/A</v>
      </c>
    </row>
    <row r="268" spans="1:34">
      <c r="A268" s="47"/>
      <c r="B268" s="47"/>
      <c r="C268" s="47" t="e">
        <f>#REF!</f>
        <v>#REF!</v>
      </c>
      <c r="D268" s="47" t="e">
        <f>SUM($D$267,$C$268)</f>
        <v>#REF!</v>
      </c>
      <c r="E268" s="47" t="e">
        <f>$D$267&gt;=0</f>
        <v>#REF!</v>
      </c>
      <c r="F268" s="47" t="e">
        <f>IF($B$262,AND($D$267&lt;=0,SUM($D$267,$C$268)&gt; 0),AND($D$267&lt;=0,SUM($D$267,$R$268)&gt; 0))</f>
        <v>#REF!</v>
      </c>
      <c r="G268" s="47" t="e">
        <f>IF($B$262,AND($D$267&gt;=0,SUM($D$267,$C$268)&lt; 0),AND($D$267&gt;=0,SUM($D$267,$Q$268)&lt; 0))</f>
        <v>#REF!</v>
      </c>
      <c r="H268" s="47" t="e">
        <f>OR($G$268,$F$268)</f>
        <v>#REF!</v>
      </c>
      <c r="I268" s="47" t="e">
        <f>IF($H$268,IF($G$268,"atb","bta"),IF($E$268,"nca","ncb"))</f>
        <v>#REF!</v>
      </c>
      <c r="J268" s="47" t="e">
        <f>IF($H$268,0,IF($B$262,IF($E$268,IF($C$268&gt;=0,$D$267,$D$267+$C$268),IF($C$268&gt;=0,$D$267+$C$268,$D$267)),IF($E$268,SUM($D$267,$Q$268),SUM($D$267,$R$268))))</f>
        <v>#REF!</v>
      </c>
      <c r="K268" s="47"/>
      <c r="L268" s="47"/>
      <c r="M268" s="47" t="e">
        <f>IF(COUNTIF(#REF!, "= 0")+ COUNTBLANK(#REF!) = 1,NA(),IF($B$262,NA(),IF($C$268&gt;=0,SUM($D$267,$R$268),NA())))</f>
        <v>#REF!</v>
      </c>
      <c r="N268" s="47" t="e">
        <f>IF(COUNTIF(#REF!, "= 0")+ COUNTBLANK(#REF!) = 1,NA(),IF($B$262,NA(),IF($C$268&gt;=0,NA(),SUM($D$267,$Q$268))))</f>
        <v>#REF!</v>
      </c>
      <c r="O268" s="47" t="e">
        <f>$C$268</f>
        <v>#REF!</v>
      </c>
      <c r="P268" s="47" t="e">
        <f>$C$268</f>
        <v>#REF!</v>
      </c>
      <c r="Q268" s="47">
        <f>SUMIF($Z$268:$Z$268,"&lt;0")</f>
        <v>0</v>
      </c>
      <c r="R268" s="47">
        <f>SUMIF($Z$268:$Z$268,"&gt;0")</f>
        <v>0</v>
      </c>
      <c r="S268" s="47" t="e">
        <f>IF($B$262,IF($I$268="nca",IF($C$268&gt;=0,0,ABS($C$268)),IF($I$268="ncb",0,IF($I$268="atb",IF($C$268&gt;=0,0,IF($D$267&lt;0,0,IF(ABS($C$268)&gt;$D$267,$D$267,ABS($C$268)))),IF($I$268="bta",0,"err")))),)</f>
        <v>#REF!</v>
      </c>
      <c r="T268" s="47" t="e">
        <f>IF($B$262,IF($I$268="nca",IF($C$268&lt;0,0,ABS($C$268)),IF($I$268="ncb",0,IF($I$268="atb",IF($C$268&lt;=0,0,$C$268),IF($I$268="bta",IF($C$268&lt;=0,0,$V$268+$C$268),"err")))),)</f>
        <v>#REF!</v>
      </c>
      <c r="U268" s="47" t="e">
        <f>IF($B$262,IF($I$268="nca",0,IF($I$268="ncb",IF($C$268&lt;=0,-ABS($C$268),0),IF($I$268="atb",IF($C$268&lt;0,$C$268+$S$268,0),IF($I$268="bta",IF($C$268&lt;=0,$C$268,0),"err")))),)</f>
        <v>#REF!</v>
      </c>
      <c r="V268" s="47" t="e">
        <f>IF($B$262,IF($I$268="nca",0,IF($I$268="ncb",IF($C$268&gt;=0,-ABS($C$268),0),IF($I$268="atb",0,IF($I$268="bta",IF($C$268&lt;=0,0,IF($D$267&gt;0,0,IF(ABS($C$268)&lt;ABS($D$267),-ABS($C$268),$D$267))),"err")))),)</f>
        <v>#REF!</v>
      </c>
      <c r="W268" s="47" t="e">
        <f>IF($C$268&gt;=0,IF($B$262,IF($C$268=0,NA(),$D$268),NA()),NA())</f>
        <v>#REF!</v>
      </c>
      <c r="X268" s="47" t="e">
        <f>IF($C$268&lt;0,IF($B$262,IF($C$268=0,NA(),$D$268),NA()),NA())</f>
        <v>#REF!</v>
      </c>
      <c r="Y268" s="47" t="e">
        <f>$D$263</f>
        <v>#REF!</v>
      </c>
      <c r="Z268" s="47" t="e">
        <f>#REF!</f>
        <v>#REF!</v>
      </c>
      <c r="AA268" s="47">
        <v>0</v>
      </c>
      <c r="AB268" s="47">
        <v>0</v>
      </c>
      <c r="AC268" s="47">
        <f>IF($B$262,,IF($I$268="nca",IF($Z$268&gt;=0,0,ABS($Z$268)),IF($I$268="ncb",0,IF($I$268="atb",IF($Z$268&gt;=0,0,IF($D$267-$AA$268&lt;0,0,IF(ABS($Z$268)&gt;$D$267-$AA$268,$D$267-$AA$268,ABS($Z$268)))),IF($I$268="bta",0,"err")))))</f>
        <v>0</v>
      </c>
      <c r="AD268" s="47">
        <f>IF($B$262,,IF($I$268="nca",0,IF($I$268="ncb",IF($Z$268&gt;=0,-ABS($Z$268),0),IF($I$268="atb",0,IF($I$268="bta",IF($Z$268&lt;=0,0,IF($D$267+$AB$268&gt;0,0,IF(ABS($Z$268)&lt;ABS($D$267+$AB$268),-ABS($Z$268),$D$267+$AB$268))),"err")))))</f>
        <v>0</v>
      </c>
      <c r="AE268" s="47">
        <f>IF($B$262,,IF($I$268="nca",0,IF($I$268="ncb",IF($Z$268&lt;=0,-ABS($Z$268),0),IF($I$268="atb",IF($Z$268&lt;0,$Z$268+$AC$268,0),IF($I$268="bta",IF($Z$268&lt;=0,$Z$268,0),"err")))))</f>
        <v>0</v>
      </c>
      <c r="AF268" s="47">
        <f>IF($B$262,,IF($I$268="nca",IF($Z$268&lt;0,0,ABS($Z$268)),IF($I$268="ncb",0,IF($I$268="atb",IF($Z$268&lt;=0,0,$Z$268),IF($I$268="bta",IF($Z$268&lt;=0,0,$AD$268+$Z$268),"err")))))</f>
        <v>0</v>
      </c>
      <c r="AG268" s="47" t="b">
        <f>IF(SUM(COUNTIFS($AF$268,"&lt;&gt;0",$AF$268,"&lt;&gt;"),COUNTIFS($AC$268,"&lt;&gt;0",$AC$268,"&lt;&gt;"),COUNTIFS($AD$268,"&lt;&gt;0",$AD$268,"&lt;&gt;"),COUNTIFS($AE$268,"&lt;&gt;0",$AE$268,"&lt;&gt;"))=2,TRUE,FALSE)</f>
        <v>0</v>
      </c>
      <c r="AH268" s="47" t="e">
        <f>IF($B$262,NA(),IF($Z$268=0,NA(),IF($AG$268,SUM($AC$268,$AF$268,$AD$268,$AE$268)/2,IF(OR($AF$268&lt;&gt;0,$AD$268&lt;&gt;0),$D$267+$AB$268,$D$267-$AA$268)+$Z$268/2)))</f>
        <v>#N/A</v>
      </c>
    </row>
    <row r="269" spans="1:34">
      <c r="A269" s="47"/>
      <c r="B269" s="47"/>
      <c r="C269" s="47" t="e">
        <f>#REF!</f>
        <v>#REF!</v>
      </c>
      <c r="D269" s="47" t="e">
        <f>SUM($D$268,$C$269)</f>
        <v>#REF!</v>
      </c>
      <c r="E269" s="47" t="e">
        <f>$D$268&gt;=0</f>
        <v>#REF!</v>
      </c>
      <c r="F269" s="47" t="e">
        <f>IF($B$262,AND($D$268&lt;=0,SUM($D$268,$C$269)&gt; 0),AND($D$268&lt;=0,SUM($D$268,$R$269)&gt; 0))</f>
        <v>#REF!</v>
      </c>
      <c r="G269" s="47" t="e">
        <f>IF($B$262,AND($D$268&gt;=0,SUM($D$268,$C$269)&lt; 0),AND($D$268&gt;=0,SUM($D$268,$Q$269)&lt; 0))</f>
        <v>#REF!</v>
      </c>
      <c r="H269" s="47" t="e">
        <f>OR($G$269,$F$269)</f>
        <v>#REF!</v>
      </c>
      <c r="I269" s="47" t="e">
        <f>IF($H$269,IF($G$269,"atb","bta"),IF($E$269,"nca","ncb"))</f>
        <v>#REF!</v>
      </c>
      <c r="J269" s="47" t="e">
        <f>IF($H$269,0,IF($B$262,IF($E$269,IF($C$269&gt;=0,$D$268,$D$268+$C$269),IF($C$269&gt;=0,$D$268+$C$269,$D$268)),IF($E$269,SUM($D$268,$Q$269),SUM($D$268,$R$269))))</f>
        <v>#REF!</v>
      </c>
      <c r="K269" s="47"/>
      <c r="L269" s="47"/>
      <c r="M269" s="47" t="e">
        <f>IF(COUNTIF(#REF!, "= 0")+ COUNTBLANK(#REF!) = 1,NA(),IF($B$262,NA(),IF($C$269&gt;=0,SUM($D$268,$R$269),NA())))</f>
        <v>#REF!</v>
      </c>
      <c r="N269" s="47" t="e">
        <f>IF(COUNTIF(#REF!, "= 0")+ COUNTBLANK(#REF!) = 1,NA(),IF($B$262,NA(),IF($C$269&gt;=0,NA(),SUM($D$268,$Q$269))))</f>
        <v>#REF!</v>
      </c>
      <c r="O269" s="47" t="e">
        <f>$C$269</f>
        <v>#REF!</v>
      </c>
      <c r="P269" s="47" t="e">
        <f>$C$269</f>
        <v>#REF!</v>
      </c>
      <c r="Q269" s="47">
        <f>SUMIF($Z$269:$Z$269,"&lt;0")</f>
        <v>0</v>
      </c>
      <c r="R269" s="47">
        <f>SUMIF($Z$269:$Z$269,"&gt;0")</f>
        <v>0</v>
      </c>
      <c r="S269" s="47" t="e">
        <f>IF($B$262,IF($I$269="nca",IF($C$269&gt;=0,0,ABS($C$269)),IF($I$269="ncb",0,IF($I$269="atb",IF($C$269&gt;=0,0,IF($D$268&lt;0,0,IF(ABS($C$269)&gt;$D$268,$D$268,ABS($C$269)))),IF($I$269="bta",0,"err")))),)</f>
        <v>#REF!</v>
      </c>
      <c r="T269" s="47" t="e">
        <f>IF($B$262,IF($I$269="nca",IF($C$269&lt;0,0,ABS($C$269)),IF($I$269="ncb",0,IF($I$269="atb",IF($C$269&lt;=0,0,$C$269),IF($I$269="bta",IF($C$269&lt;=0,0,$V$269+$C$269),"err")))),)</f>
        <v>#REF!</v>
      </c>
      <c r="U269" s="47" t="e">
        <f>IF($B$262,IF($I$269="nca",0,IF($I$269="ncb",IF($C$269&lt;=0,-ABS($C$269),0),IF($I$269="atb",IF($C$269&lt;0,$C$269+$S$269,0),IF($I$269="bta",IF($C$269&lt;=0,$C$269,0),"err")))),)</f>
        <v>#REF!</v>
      </c>
      <c r="V269" s="47" t="e">
        <f>IF($B$262,IF($I$269="nca",0,IF($I$269="ncb",IF($C$269&gt;=0,-ABS($C$269),0),IF($I$269="atb",0,IF($I$269="bta",IF($C$269&lt;=0,0,IF($D$268&gt;0,0,IF(ABS($C$269)&lt;ABS($D$268),-ABS($C$269),$D$268))),"err")))),)</f>
        <v>#REF!</v>
      </c>
      <c r="W269" s="47" t="e">
        <f>IF($C$269&gt;=0,IF($B$262,IF($C$269=0,NA(),$D$269),NA()),NA())</f>
        <v>#REF!</v>
      </c>
      <c r="X269" s="47" t="e">
        <f>IF($C$269&lt;0,IF($B$262,IF($C$269=0,NA(),$D$269),NA()),NA())</f>
        <v>#REF!</v>
      </c>
      <c r="Y269" s="47" t="e">
        <f>IF(IF($B$262,$C$264 = 0,COUNTIF(#REF!, "= 0")+ COUNTBLANK(#REF!) = 1),$Y$268,NA())</f>
        <v>#REF!</v>
      </c>
      <c r="Z269" s="47" t="e">
        <f>#REF!</f>
        <v>#REF!</v>
      </c>
      <c r="AA269" s="47">
        <v>0</v>
      </c>
      <c r="AB269" s="47">
        <v>0</v>
      </c>
      <c r="AC269" s="47">
        <f>IF($B$262,,IF($I$269="nca",IF($Z$269&gt;=0,0,ABS($Z$269)),IF($I$269="ncb",0,IF($I$269="atb",IF($Z$269&gt;=0,0,IF($D$268-$AA$269&lt;0,0,IF(ABS($Z$269)&gt;$D$268-$AA$269,$D$268-$AA$269,ABS($Z$269)))),IF($I$269="bta",0,"err")))))</f>
        <v>0</v>
      </c>
      <c r="AD269" s="47">
        <f>IF($B$262,,IF($I$269="nca",0,IF($I$269="ncb",IF($Z$269&gt;=0,-ABS($Z$269),0),IF($I$269="atb",0,IF($I$269="bta",IF($Z$269&lt;=0,0,IF($D$268+$AB$269&gt;0,0,IF(ABS($Z$269)&lt;ABS($D$268+$AB$269),-ABS($Z$269),$D$268+$AB$269))),"err")))))</f>
        <v>0</v>
      </c>
      <c r="AE269" s="47">
        <f>IF($B$262,,IF($I$269="nca",0,IF($I$269="ncb",IF($Z$269&lt;=0,-ABS($Z$269),0),IF($I$269="atb",IF($Z$269&lt;0,$Z$269+$AC$269,0),IF($I$269="bta",IF($Z$269&lt;=0,$Z$269,0),"err")))))</f>
        <v>0</v>
      </c>
      <c r="AF269" s="47">
        <f>IF($B$262,,IF($I$269="nca",IF($Z$269&lt;0,0,ABS($Z$269)),IF($I$269="ncb",0,IF($I$269="atb",IF($Z$269&lt;=0,0,$Z$269),IF($I$269="bta",IF($Z$269&lt;=0,0,$AD$269+$Z$269),"err")))))</f>
        <v>0</v>
      </c>
      <c r="AG269" s="47" t="b">
        <f>IF(SUM(COUNTIFS($AF$269,"&lt;&gt;0",$AF$269,"&lt;&gt;"),COUNTIFS($AC$269,"&lt;&gt;0",$AC$269,"&lt;&gt;"),COUNTIFS($AD$269,"&lt;&gt;0",$AD$269,"&lt;&gt;"),COUNTIFS($AE$269,"&lt;&gt;0",$AE$269,"&lt;&gt;"))=2,TRUE,FALSE)</f>
        <v>0</v>
      </c>
      <c r="AH269" s="47" t="e">
        <f>IF($B$262,NA(),IF($Z$269=0,NA(),IF($AG$269,SUM($AC$269,$AF$269,$AD$269,$AE$269)/2,IF(OR($AF$269&lt;&gt;0,$AD$269&lt;&gt;0),$D$268+$AB$269,$D$268-$AA$269)+$Z$269/2)))</f>
        <v>#N/A</v>
      </c>
    </row>
    <row r="270" spans="1:34">
      <c r="A270" s="47"/>
      <c r="B270" s="47"/>
      <c r="C270" s="47" t="e">
        <f>#REF!</f>
        <v>#REF!</v>
      </c>
      <c r="D270" s="47" t="e">
        <f>$C$270</f>
        <v>#REF!</v>
      </c>
      <c r="E270" s="47"/>
      <c r="F270" s="47"/>
      <c r="G270" s="47"/>
      <c r="H270" s="47"/>
      <c r="I270" s="47"/>
      <c r="J270" s="47"/>
      <c r="K270" s="47" t="e">
        <f>IF(COUNTIF(#REF!, "= 0")+ COUNTBLANK(#REF!) = 1,NA(),IF($B$261,$D$270,NA()))</f>
        <v>#REF!</v>
      </c>
      <c r="L270" s="47" t="e">
        <f>$D$270</f>
        <v>#REF!</v>
      </c>
      <c r="M270" s="47" t="e">
        <f>IF(COUNTIF(#REF!, "= 0")+ COUNTBLANK(#REF!) = 1,NA(),IF($B$261,NA(),IF($C$270&gt;= 0,$R$270,NA())))</f>
        <v>#REF!</v>
      </c>
      <c r="N270" s="47" t="e">
        <f>IF(COUNTIF(#REF!, "= 0")+ COUNTBLANK(#REF!) = 1,NA(),IF($B$261,NA(),IF($C$270&lt;= 0,$Q$270,NA())))</f>
        <v>#REF!</v>
      </c>
      <c r="O270" s="47" t="e">
        <f>$C$270</f>
        <v>#REF!</v>
      </c>
      <c r="P270" s="47" t="e">
        <f>$C$270</f>
        <v>#REF!</v>
      </c>
      <c r="Q270" s="47">
        <f>SUMIF($Z$270:$Z$270,"&lt;0")</f>
        <v>0</v>
      </c>
      <c r="R270" s="47">
        <f>SUMIF($Z$270:$Z$270,"&gt;0")</f>
        <v>0</v>
      </c>
      <c r="S270" s="47"/>
      <c r="T270" s="47"/>
      <c r="U270" s="47"/>
      <c r="V270" s="47"/>
      <c r="W270" s="47"/>
      <c r="X270" s="47"/>
      <c r="Y270" s="47" t="e">
        <f>$D$264</f>
        <v>#REF!</v>
      </c>
      <c r="Z270" s="47" t="e">
        <f>#REF!</f>
        <v>#REF!</v>
      </c>
      <c r="AA270" s="47">
        <v>0</v>
      </c>
      <c r="AB270" s="47">
        <v>0</v>
      </c>
      <c r="AC270" s="47"/>
      <c r="AD270" s="47"/>
      <c r="AE270" s="47">
        <f>IF($B$261,,IF($Z$270 &lt; 0,$Z$270,))</f>
        <v>0</v>
      </c>
      <c r="AF270" s="47">
        <f>IF($B$261,,IF($Z$270 &gt; 0,$Z$270,))</f>
        <v>0</v>
      </c>
      <c r="AG270" s="47"/>
      <c r="AH270" s="47" t="e">
        <f>IF($B$261,NA(),IF($Z$270 = 0,NA(),IF($Z$270 &gt; 0,$AB$270 + $Z$270/2,-$AA$270 + $Z$270/2)))</f>
        <v>#N/A</v>
      </c>
    </row>
    <row r="271" spans="1:34">
      <c r="A271" s="47"/>
      <c r="B271" s="47"/>
      <c r="C271" s="47" t="e">
        <f>#REF!</f>
        <v>#REF!</v>
      </c>
      <c r="D271" s="47" t="e">
        <f>SUM($D$270,$C$271)</f>
        <v>#REF!</v>
      </c>
      <c r="E271" s="47" t="e">
        <f>$D$270&gt;=0</f>
        <v>#REF!</v>
      </c>
      <c r="F271" s="47" t="e">
        <f>IF($B$262,AND($D$270&lt;=0,SUM($D$270,$C$271)&gt; 0),AND($D$270&lt;=0,SUM($D$270,$R$271)&gt; 0))</f>
        <v>#REF!</v>
      </c>
      <c r="G271" s="47" t="e">
        <f>IF($B$262,AND($D$270&gt;=0,SUM($D$270,$C$271)&lt; 0),AND($D$270&gt;=0,SUM($D$270,$Q$271)&lt; 0))</f>
        <v>#REF!</v>
      </c>
      <c r="H271" s="47" t="e">
        <f>OR($G$271,$F$271)</f>
        <v>#REF!</v>
      </c>
      <c r="I271" s="47" t="e">
        <f>IF($H$271,IF($G$271,"atb","bta"),IF($E$271,"nca","ncb"))</f>
        <v>#REF!</v>
      </c>
      <c r="J271" s="47" t="e">
        <f>IF($H$271,0,IF($B$262,IF($E$271,IF($C$271&gt;=0,$D$270,$D$270+$C$271),IF($C$271&gt;=0,$D$270+$C$271,$D$270)),IF($E$271,SUM($D$270,$Q$271),SUM($D$270,$R$271))))</f>
        <v>#REF!</v>
      </c>
      <c r="K271" s="47"/>
      <c r="L271" s="47"/>
      <c r="M271" s="47" t="e">
        <f>IF(COUNTIF(#REF!, "= 0")+ COUNTBLANK(#REF!) = 1,NA(),IF($B$262,NA(),IF($C$271&gt;=0,SUM($D$270,$R$271),NA())))</f>
        <v>#REF!</v>
      </c>
      <c r="N271" s="47" t="e">
        <f>IF(COUNTIF(#REF!, "= 0")+ COUNTBLANK(#REF!) = 1,NA(),IF($B$262,NA(),IF($C$271&gt;=0,NA(),SUM($D$270,$Q$271))))</f>
        <v>#REF!</v>
      </c>
      <c r="O271" s="47" t="e">
        <f>$C$271</f>
        <v>#REF!</v>
      </c>
      <c r="P271" s="47" t="e">
        <f>$C$271</f>
        <v>#REF!</v>
      </c>
      <c r="Q271" s="47">
        <f>SUMIF($Z$271:$Z$271,"&lt;0")</f>
        <v>0</v>
      </c>
      <c r="R271" s="47">
        <f>SUMIF($Z$271:$Z$271,"&gt;0")</f>
        <v>0</v>
      </c>
      <c r="S271" s="47" t="e">
        <f>IF($B$262,IF($I$271="nca",IF($C$271&gt;=0,0,ABS($C$271)),IF($I$271="ncb",0,IF($I$271="atb",IF($C$271&gt;=0,0,IF($D$270&lt;0,0,IF(ABS($C$271)&gt;$D$270,$D$270,ABS($C$271)))),IF($I$271="bta",0,"err")))),)</f>
        <v>#REF!</v>
      </c>
      <c r="T271" s="47" t="e">
        <f>IF($B$262,IF($I$271="nca",IF($C$271&lt;0,0,ABS($C$271)),IF($I$271="ncb",0,IF($I$271="atb",IF($C$271&lt;=0,0,$C$271),IF($I$271="bta",IF($C$271&lt;=0,0,$V$271+$C$271),"err")))),)</f>
        <v>#REF!</v>
      </c>
      <c r="U271" s="47" t="e">
        <f>IF($B$262,IF($I$271="nca",0,IF($I$271="ncb",IF($C$271&lt;=0,-ABS($C$271),0),IF($I$271="atb",IF($C$271&lt;0,$C$271+$S$271,0),IF($I$271="bta",IF($C$271&lt;=0,$C$271,0),"err")))),)</f>
        <v>#REF!</v>
      </c>
      <c r="V271" s="47" t="e">
        <f>IF($B$262,IF($I$271="nca",0,IF($I$271="ncb",IF($C$271&gt;=0,-ABS($C$271),0),IF($I$271="atb",0,IF($I$271="bta",IF($C$271&lt;=0,0,IF($D$270&gt;0,0,IF(ABS($C$271)&lt;ABS($D$270),-ABS($C$271),$D$270))),"err")))),)</f>
        <v>#REF!</v>
      </c>
      <c r="W271" s="47" t="e">
        <f>IF($C$271&gt;=0,IF($B$262,IF($C$271=0,NA(),$D$271),NA()),NA())</f>
        <v>#REF!</v>
      </c>
      <c r="X271" s="47" t="e">
        <f>IF($C$271&lt;0,IF($B$262,IF($C$271=0,NA(),$D$271),NA()),NA())</f>
        <v>#REF!</v>
      </c>
      <c r="Y271" s="47" t="e">
        <f>$D$264</f>
        <v>#REF!</v>
      </c>
      <c r="Z271" s="47" t="e">
        <f>#REF!</f>
        <v>#REF!</v>
      </c>
      <c r="AA271" s="47">
        <v>0</v>
      </c>
      <c r="AB271" s="47">
        <v>0</v>
      </c>
      <c r="AC271" s="47">
        <f>IF($B$262,,IF($I$271="nca",IF($Z$271&gt;=0,0,ABS($Z$271)),IF($I$271="ncb",0,IF($I$271="atb",IF($Z$271&gt;=0,0,IF($D$270-$AA$271&lt;0,0,IF(ABS($Z$271)&gt;$D$270-$AA$271,$D$270-$AA$271,ABS($Z$271)))),IF($I$271="bta",0,"err")))))</f>
        <v>0</v>
      </c>
      <c r="AD271" s="47">
        <f>IF($B$262,,IF($I$271="nca",0,IF($I$271="ncb",IF($Z$271&gt;=0,-ABS($Z$271),0),IF($I$271="atb",0,IF($I$271="bta",IF($Z$271&lt;=0,0,IF($D$270+$AB$271&gt;0,0,IF(ABS($Z$271)&lt;ABS($D$270+$AB$271),-ABS($Z$271),$D$270+$AB$271))),"err")))))</f>
        <v>0</v>
      </c>
      <c r="AE271" s="47">
        <f>IF($B$262,,IF($I$271="nca",0,IF($I$271="ncb",IF($Z$271&lt;=0,-ABS($Z$271),0),IF($I$271="atb",IF($Z$271&lt;0,$Z$271+$AC$271,0),IF($I$271="bta",IF($Z$271&lt;=0,$Z$271,0),"err")))))</f>
        <v>0</v>
      </c>
      <c r="AF271" s="47">
        <f>IF($B$262,,IF($I$271="nca",IF($Z$271&lt;0,0,ABS($Z$271)),IF($I$271="ncb",0,IF($I$271="atb",IF($Z$271&lt;=0,0,$Z$271),IF($I$271="bta",IF($Z$271&lt;=0,0,$AD$271+$Z$271),"err")))))</f>
        <v>0</v>
      </c>
      <c r="AG271" s="47" t="b">
        <f>IF(SUM(COUNTIFS($AF$271,"&lt;&gt;0",$AF$271,"&lt;&gt;"),COUNTIFS($AC$271,"&lt;&gt;0",$AC$271,"&lt;&gt;"),COUNTIFS($AD$271,"&lt;&gt;0",$AD$271,"&lt;&gt;"),COUNTIFS($AE$271,"&lt;&gt;0",$AE$271,"&lt;&gt;"))=2,TRUE,FALSE)</f>
        <v>0</v>
      </c>
      <c r="AH271" s="47" t="e">
        <f>IF($B$262,NA(),IF($Z$271=0,NA(),IF($AG$271,SUM($AC$271,$AF$271,$AD$271,$AE$271)/2,IF(OR($AF$271&lt;&gt;0,$AD$271&lt;&gt;0),$D$270+$AB$271,$D$270-$AA$271)+$Z$271/2)))</f>
        <v>#N/A</v>
      </c>
    </row>
    <row r="272" spans="1:34">
      <c r="A272" s="47"/>
      <c r="B272" s="47"/>
      <c r="C272" s="47" t="e">
        <f>#REF!</f>
        <v>#REF!</v>
      </c>
      <c r="D272" s="47" t="e">
        <f>SUM($D$271,$C$272)</f>
        <v>#REF!</v>
      </c>
      <c r="E272" s="47" t="e">
        <f>$D$271&gt;=0</f>
        <v>#REF!</v>
      </c>
      <c r="F272" s="47" t="e">
        <f>IF($B$262,AND($D$271&lt;=0,SUM($D$271,$C$272)&gt; 0),AND($D$271&lt;=0,SUM($D$271,$R$272)&gt; 0))</f>
        <v>#REF!</v>
      </c>
      <c r="G272" s="47" t="e">
        <f>IF($B$262,AND($D$271&gt;=0,SUM($D$271,$C$272)&lt; 0),AND($D$271&gt;=0,SUM($D$271,$Q$272)&lt; 0))</f>
        <v>#REF!</v>
      </c>
      <c r="H272" s="47" t="e">
        <f>OR($G$272,$F$272)</f>
        <v>#REF!</v>
      </c>
      <c r="I272" s="47" t="e">
        <f>IF($H$272,IF($G$272,"atb","bta"),IF($E$272,"nca","ncb"))</f>
        <v>#REF!</v>
      </c>
      <c r="J272" s="47" t="e">
        <f>IF($H$272,0,IF($B$262,IF($E$272,IF($C$272&gt;=0,$D$271,$D$271+$C$272),IF($C$272&gt;=0,$D$271+$C$272,$D$271)),IF($E$272,SUM($D$271,$Q$272),SUM($D$271,$R$272))))</f>
        <v>#REF!</v>
      </c>
      <c r="K272" s="47"/>
      <c r="L272" s="47"/>
      <c r="M272" s="47" t="e">
        <f>IF(COUNTIF(#REF!, "= 0")+ COUNTBLANK(#REF!) = 1,NA(),IF($B$262,NA(),IF($C$272&gt;=0,SUM($D$271,$R$272),NA())))</f>
        <v>#REF!</v>
      </c>
      <c r="N272" s="47" t="e">
        <f>IF(COUNTIF(#REF!, "= 0")+ COUNTBLANK(#REF!) = 1,NA(),IF($B$262,NA(),IF($C$272&gt;=0,NA(),SUM($D$271,$Q$272))))</f>
        <v>#REF!</v>
      </c>
      <c r="O272" s="47" t="e">
        <f>$C$272</f>
        <v>#REF!</v>
      </c>
      <c r="P272" s="47" t="e">
        <f>$C$272</f>
        <v>#REF!</v>
      </c>
      <c r="Q272" s="47">
        <f>SUMIF($Z$272:$Z$272,"&lt;0")</f>
        <v>0</v>
      </c>
      <c r="R272" s="47">
        <f>SUMIF($Z$272:$Z$272,"&gt;0")</f>
        <v>0</v>
      </c>
      <c r="S272" s="47" t="e">
        <f>IF($B$262,IF($I$272="nca",IF($C$272&gt;=0,0,ABS($C$272)),IF($I$272="ncb",0,IF($I$272="atb",IF($C$272&gt;=0,0,IF($D$271&lt;0,0,IF(ABS($C$272)&gt;$D$271,$D$271,ABS($C$272)))),IF($I$272="bta",0,"err")))),)</f>
        <v>#REF!</v>
      </c>
      <c r="T272" s="47" t="e">
        <f>IF($B$262,IF($I$272="nca",IF($C$272&lt;0,0,ABS($C$272)),IF($I$272="ncb",0,IF($I$272="atb",IF($C$272&lt;=0,0,$C$272),IF($I$272="bta",IF($C$272&lt;=0,0,$V$272+$C$272),"err")))),)</f>
        <v>#REF!</v>
      </c>
      <c r="U272" s="47" t="e">
        <f>IF($B$262,IF($I$272="nca",0,IF($I$272="ncb",IF($C$272&lt;=0,-ABS($C$272),0),IF($I$272="atb",IF($C$272&lt;0,$C$272+$S$272,0),IF($I$272="bta",IF($C$272&lt;=0,$C$272,0),"err")))),)</f>
        <v>#REF!</v>
      </c>
      <c r="V272" s="47" t="e">
        <f>IF($B$262,IF($I$272="nca",0,IF($I$272="ncb",IF($C$272&gt;=0,-ABS($C$272),0),IF($I$272="atb",0,IF($I$272="bta",IF($C$272&lt;=0,0,IF($D$271&gt;0,0,IF(ABS($C$272)&lt;ABS($D$271),-ABS($C$272),$D$271))),"err")))),)</f>
        <v>#REF!</v>
      </c>
      <c r="W272" s="47" t="e">
        <f>IF($C$272&gt;=0,IF($B$262,IF($C$272=0,NA(),$D$272),NA()),NA())</f>
        <v>#REF!</v>
      </c>
      <c r="X272" s="47" t="e">
        <f>IF($C$272&lt;0,IF($B$262,IF($C$272=0,NA(),$D$272),NA()),NA())</f>
        <v>#REF!</v>
      </c>
      <c r="Y272" s="47" t="e">
        <f>IF(IF($B$262,$C$265 = 0,COUNTIF(#REF!, "= 0")+ COUNTBLANK(#REF!) = 1),$Y$271,NA())</f>
        <v>#REF!</v>
      </c>
      <c r="Z272" s="47" t="e">
        <f>#REF!</f>
        <v>#REF!</v>
      </c>
      <c r="AA272" s="47">
        <v>0</v>
      </c>
      <c r="AB272" s="47">
        <v>0</v>
      </c>
      <c r="AC272" s="47">
        <f>IF($B$262,,IF($I$272="nca",IF($Z$272&gt;=0,0,ABS($Z$272)),IF($I$272="ncb",0,IF($I$272="atb",IF($Z$272&gt;=0,0,IF($D$271-$AA$272&lt;0,0,IF(ABS($Z$272)&gt;$D$271-$AA$272,$D$271-$AA$272,ABS($Z$272)))),IF($I$272="bta",0,"err")))))</f>
        <v>0</v>
      </c>
      <c r="AD272" s="47">
        <f>IF($B$262,,IF($I$272="nca",0,IF($I$272="ncb",IF($Z$272&gt;=0,-ABS($Z$272),0),IF($I$272="atb",0,IF($I$272="bta",IF($Z$272&lt;=0,0,IF($D$271+$AB$272&gt;0,0,IF(ABS($Z$272)&lt;ABS($D$271+$AB$272),-ABS($Z$272),$D$271+$AB$272))),"err")))))</f>
        <v>0</v>
      </c>
      <c r="AE272" s="47">
        <f>IF($B$262,,IF($I$272="nca",0,IF($I$272="ncb",IF($Z$272&lt;=0,-ABS($Z$272),0),IF($I$272="atb",IF($Z$272&lt;0,$Z$272+$AC$272,0),IF($I$272="bta",IF($Z$272&lt;=0,$Z$272,0),"err")))))</f>
        <v>0</v>
      </c>
      <c r="AF272" s="47">
        <f>IF($B$262,,IF($I$272="nca",IF($Z$272&lt;0,0,ABS($Z$272)),IF($I$272="ncb",0,IF($I$272="atb",IF($Z$272&lt;=0,0,$Z$272),IF($I$272="bta",IF($Z$272&lt;=0,0,$AD$272+$Z$272),"err")))))</f>
        <v>0</v>
      </c>
      <c r="AG272" s="47" t="b">
        <f>IF(SUM(COUNTIFS($AF$272,"&lt;&gt;0",$AF$272,"&lt;&gt;"),COUNTIFS($AC$272,"&lt;&gt;0",$AC$272,"&lt;&gt;"),COUNTIFS($AD$272,"&lt;&gt;0",$AD$272,"&lt;&gt;"),COUNTIFS($AE$272,"&lt;&gt;0",$AE$272,"&lt;&gt;"))=2,TRUE,FALSE)</f>
        <v>0</v>
      </c>
      <c r="AH272" s="47" t="e">
        <f>IF($B$262,NA(),IF($Z$272=0,NA(),IF($AG$272,SUM($AC$272,$AF$272,$AD$272,$AE$272)/2,IF(OR($AF$272&lt;&gt;0,$AD$272&lt;&gt;0),$D$271+$AB$272,$D$271-$AA$272)+$Z$272/2)))</f>
        <v>#N/A</v>
      </c>
    </row>
    <row r="273" spans="1:34">
      <c r="A273" s="47"/>
      <c r="B273" s="47"/>
      <c r="C273" s="47" t="e">
        <f>#REF!</f>
        <v>#REF!</v>
      </c>
      <c r="D273" s="47" t="e">
        <f>SUM($D$272,$C$273)</f>
        <v>#REF!</v>
      </c>
      <c r="E273" s="47" t="e">
        <f>$D$272&gt;=0</f>
        <v>#REF!</v>
      </c>
      <c r="F273" s="47" t="e">
        <f>IF($B$262,AND($D$272&lt;=0,SUM($D$272,$C$273)&gt; 0),AND($D$272&lt;=0,SUM($D$272,$R$273)&gt; 0))</f>
        <v>#REF!</v>
      </c>
      <c r="G273" s="47" t="e">
        <f>IF($B$262,AND($D$272&gt;=0,SUM($D$272,$C$273)&lt; 0),AND($D$272&gt;=0,SUM($D$272,$Q$273)&lt; 0))</f>
        <v>#REF!</v>
      </c>
      <c r="H273" s="47" t="e">
        <f>OR($G$273,$F$273)</f>
        <v>#REF!</v>
      </c>
      <c r="I273" s="47" t="e">
        <f>IF($H$273,IF($G$273,"atb","bta"),IF($E$273,"nca","ncb"))</f>
        <v>#REF!</v>
      </c>
      <c r="J273" s="47" t="e">
        <f>IF($H$273,0,IF($B$262,IF($E$273,IF($C$273&gt;=0,$D$272,$D$272+$C$273),IF($C$273&gt;=0,$D$272+$C$273,$D$272)),IF($E$273,SUM($D$272,$Q$273),SUM($D$272,$R$273))))</f>
        <v>#REF!</v>
      </c>
      <c r="K273" s="47"/>
      <c r="L273" s="47"/>
      <c r="M273" s="47" t="e">
        <f>IF(COUNTIF(#REF!, "= 0")+ COUNTBLANK(#REF!) = 1,NA(),IF($B$262,NA(),IF($C$273&gt;=0,SUM($D$272,$R$273),NA())))</f>
        <v>#REF!</v>
      </c>
      <c r="N273" s="47" t="e">
        <f>IF(COUNTIF(#REF!, "= 0")+ COUNTBLANK(#REF!) = 1,NA(),IF($B$262,NA(),IF($C$273&gt;=0,NA(),SUM($D$272,$Q$273))))</f>
        <v>#REF!</v>
      </c>
      <c r="O273" s="47" t="e">
        <f>$C$273</f>
        <v>#REF!</v>
      </c>
      <c r="P273" s="47" t="e">
        <f>$C$273</f>
        <v>#REF!</v>
      </c>
      <c r="Q273" s="47">
        <f>SUMIF($Z$273:$Z$273,"&lt;0")</f>
        <v>0</v>
      </c>
      <c r="R273" s="47">
        <f>SUMIF($Z$273:$Z$273,"&gt;0")</f>
        <v>0</v>
      </c>
      <c r="S273" s="47" t="e">
        <f>IF($B$262,IF($I$273="nca",IF($C$273&gt;=0,0,ABS($C$273)),IF($I$273="ncb",0,IF($I$273="atb",IF($C$273&gt;=0,0,IF($D$272&lt;0,0,IF(ABS($C$273)&gt;$D$272,$D$272,ABS($C$273)))),IF($I$273="bta",0,"err")))),)</f>
        <v>#REF!</v>
      </c>
      <c r="T273" s="47" t="e">
        <f>IF($B$262,IF($I$273="nca",IF($C$273&lt;0,0,ABS($C$273)),IF($I$273="ncb",0,IF($I$273="atb",IF($C$273&lt;=0,0,$C$273),IF($I$273="bta",IF($C$273&lt;=0,0,$V$273+$C$273),"err")))),)</f>
        <v>#REF!</v>
      </c>
      <c r="U273" s="47" t="e">
        <f>IF($B$262,IF($I$273="nca",0,IF($I$273="ncb",IF($C$273&lt;=0,-ABS($C$273),0),IF($I$273="atb",IF($C$273&lt;0,$C$273+$S$273,0),IF($I$273="bta",IF($C$273&lt;=0,$C$273,0),"err")))),)</f>
        <v>#REF!</v>
      </c>
      <c r="V273" s="47" t="e">
        <f>IF($B$262,IF($I$273="nca",0,IF($I$273="ncb",IF($C$273&gt;=0,-ABS($C$273),0),IF($I$273="atb",0,IF($I$273="bta",IF($C$273&lt;=0,0,IF($D$272&gt;0,0,IF(ABS($C$273)&lt;ABS($D$272),-ABS($C$273),$D$272))),"err")))),)</f>
        <v>#REF!</v>
      </c>
      <c r="W273" s="47" t="e">
        <f>IF($C$273&gt;=0,IF($B$262,IF($C$273=0,NA(),$D$273),NA()),NA())</f>
        <v>#REF!</v>
      </c>
      <c r="X273" s="47" t="e">
        <f>IF($C$273&lt;0,IF($B$262,IF($C$273=0,NA(),$D$273),NA()),NA())</f>
        <v>#REF!</v>
      </c>
      <c r="Y273" s="47" t="e">
        <f>$D$265</f>
        <v>#REF!</v>
      </c>
      <c r="Z273" s="47" t="e">
        <f>#REF!</f>
        <v>#REF!</v>
      </c>
      <c r="AA273" s="47">
        <v>0</v>
      </c>
      <c r="AB273" s="47">
        <v>0</v>
      </c>
      <c r="AC273" s="47">
        <f>IF($B$262,,IF($I$273="nca",IF($Z$273&gt;=0,0,ABS($Z$273)),IF($I$273="ncb",0,IF($I$273="atb",IF($Z$273&gt;=0,0,IF($D$272-$AA$273&lt;0,0,IF(ABS($Z$273)&gt;$D$272-$AA$273,$D$272-$AA$273,ABS($Z$273)))),IF($I$273="bta",0,"err")))))</f>
        <v>0</v>
      </c>
      <c r="AD273" s="47">
        <f>IF($B$262,,IF($I$273="nca",0,IF($I$273="ncb",IF($Z$273&gt;=0,-ABS($Z$273),0),IF($I$273="atb",0,IF($I$273="bta",IF($Z$273&lt;=0,0,IF($D$272+$AB$273&gt;0,0,IF(ABS($Z$273)&lt;ABS($D$272+$AB$273),-ABS($Z$273),$D$272+$AB$273))),"err")))))</f>
        <v>0</v>
      </c>
      <c r="AE273" s="47">
        <f>IF($B$262,,IF($I$273="nca",0,IF($I$273="ncb",IF($Z$273&lt;=0,-ABS($Z$273),0),IF($I$273="atb",IF($Z$273&lt;0,$Z$273+$AC$273,0),IF($I$273="bta",IF($Z$273&lt;=0,$Z$273,0),"err")))))</f>
        <v>0</v>
      </c>
      <c r="AF273" s="47">
        <f>IF($B$262,,IF($I$273="nca",IF($Z$273&lt;0,0,ABS($Z$273)),IF($I$273="ncb",0,IF($I$273="atb",IF($Z$273&lt;=0,0,$Z$273),IF($I$273="bta",IF($Z$273&lt;=0,0,$AD$273+$Z$273),"err")))))</f>
        <v>0</v>
      </c>
      <c r="AG273" s="47" t="b">
        <f>IF(SUM(COUNTIFS($AF$273,"&lt;&gt;0",$AF$273,"&lt;&gt;"),COUNTIFS($AC$273,"&lt;&gt;0",$AC$273,"&lt;&gt;"),COUNTIFS($AD$273,"&lt;&gt;0",$AD$273,"&lt;&gt;"),COUNTIFS($AE$273,"&lt;&gt;0",$AE$273,"&lt;&gt;"))=2,TRUE,FALSE)</f>
        <v>0</v>
      </c>
      <c r="AH273" s="47" t="e">
        <f>IF($B$262,NA(),IF($Z$273=0,NA(),IF($AG$273,SUM($AC$273,$AF$273,$AD$273,$AE$273)/2,IF(OR($AF$273&lt;&gt;0,$AD$273&lt;&gt;0),$D$272+$AB$273,$D$272-$AA$273)+$Z$273/2)))</f>
        <v>#N/A</v>
      </c>
    </row>
    <row r="274" spans="1:34">
      <c r="A274" s="47"/>
      <c r="B274" s="47"/>
      <c r="C274" s="47" t="e">
        <f>#REF!</f>
        <v>#REF!</v>
      </c>
      <c r="D274" s="47" t="e">
        <f>SUM($D$273,$C$274)</f>
        <v>#REF!</v>
      </c>
      <c r="E274" s="47" t="e">
        <f>$D$273&gt;=0</f>
        <v>#REF!</v>
      </c>
      <c r="F274" s="47" t="e">
        <f>IF($B$262,AND($D$273&lt;=0,SUM($D$273,$C$274)&gt; 0),AND($D$273&lt;=0,SUM($D$273,$R$274)&gt; 0))</f>
        <v>#REF!</v>
      </c>
      <c r="G274" s="47" t="e">
        <f>IF($B$262,AND($D$273&gt;=0,SUM($D$273,$C$274)&lt; 0),AND($D$273&gt;=0,SUM($D$273,$Q$274)&lt; 0))</f>
        <v>#REF!</v>
      </c>
      <c r="H274" s="47" t="e">
        <f>OR($G$274,$F$274)</f>
        <v>#REF!</v>
      </c>
      <c r="I274" s="47" t="e">
        <f>IF($H$274,IF($G$274,"atb","bta"),IF($E$274,"nca","ncb"))</f>
        <v>#REF!</v>
      </c>
      <c r="J274" s="47" t="e">
        <f>IF($H$274,0,IF($B$262,IF($E$274,IF($C$274&gt;=0,$D$273,$D$273+$C$274),IF($C$274&gt;=0,$D$273+$C$274,$D$273)),IF($E$274,SUM($D$273,$Q$274),SUM($D$273,$R$274))))</f>
        <v>#REF!</v>
      </c>
      <c r="K274" s="47"/>
      <c r="L274" s="47"/>
      <c r="M274" s="47" t="e">
        <f>IF(COUNTIF(#REF!, "= 0")+ COUNTBLANK(#REF!) = 1,NA(),IF($B$262,NA(),IF($C$274&gt;=0,SUM($D$273,$R$274),NA())))</f>
        <v>#REF!</v>
      </c>
      <c r="N274" s="47" t="e">
        <f>IF(COUNTIF(#REF!, "= 0")+ COUNTBLANK(#REF!) = 1,NA(),IF($B$262,NA(),IF($C$274&gt;=0,NA(),SUM($D$273,$Q$274))))</f>
        <v>#REF!</v>
      </c>
      <c r="O274" s="47" t="e">
        <f>$C$274</f>
        <v>#REF!</v>
      </c>
      <c r="P274" s="47" t="e">
        <f>$C$274</f>
        <v>#REF!</v>
      </c>
      <c r="Q274" s="47">
        <f>SUMIF($Z$274:$Z$274,"&lt;0")</f>
        <v>0</v>
      </c>
      <c r="R274" s="47">
        <f>SUMIF($Z$274:$Z$274,"&gt;0")</f>
        <v>0</v>
      </c>
      <c r="S274" s="47" t="e">
        <f>IF($B$262,IF($I$274="nca",IF($C$274&gt;=0,0,ABS($C$274)),IF($I$274="ncb",0,IF($I$274="atb",IF($C$274&gt;=0,0,IF($D$273&lt;0,0,IF(ABS($C$274)&gt;$D$273,$D$273,ABS($C$274)))),IF($I$274="bta",0,"err")))),)</f>
        <v>#REF!</v>
      </c>
      <c r="T274" s="47" t="e">
        <f>IF($B$262,IF($I$274="nca",IF($C$274&lt;0,0,ABS($C$274)),IF($I$274="ncb",0,IF($I$274="atb",IF($C$274&lt;=0,0,$C$274),IF($I$274="bta",IF($C$274&lt;=0,0,$V$274+$C$274),"err")))),)</f>
        <v>#REF!</v>
      </c>
      <c r="U274" s="47" t="e">
        <f>IF($B$262,IF($I$274="nca",0,IF($I$274="ncb",IF($C$274&lt;=0,-ABS($C$274),0),IF($I$274="atb",IF($C$274&lt;0,$C$274+$S$274,0),IF($I$274="bta",IF($C$274&lt;=0,$C$274,0),"err")))),)</f>
        <v>#REF!</v>
      </c>
      <c r="V274" s="47" t="e">
        <f>IF($B$262,IF($I$274="nca",0,IF($I$274="ncb",IF($C$274&gt;=0,-ABS($C$274),0),IF($I$274="atb",0,IF($I$274="bta",IF($C$274&lt;=0,0,IF($D$273&gt;0,0,IF(ABS($C$274)&lt;ABS($D$273),-ABS($C$274),$D$273))),"err")))),)</f>
        <v>#REF!</v>
      </c>
      <c r="W274" s="47" t="e">
        <f>IF($C$274&gt;=0,IF($B$262,IF($C$274=0,NA(),$D$274),NA()),NA())</f>
        <v>#REF!</v>
      </c>
      <c r="X274" s="47" t="e">
        <f>IF($C$274&lt;0,IF($B$262,IF($C$274=0,NA(),$D$274),NA()),NA())</f>
        <v>#REF!</v>
      </c>
      <c r="Y274" s="47" t="e">
        <f>$D$265</f>
        <v>#REF!</v>
      </c>
      <c r="Z274" s="47" t="e">
        <f>#REF!</f>
        <v>#REF!</v>
      </c>
      <c r="AA274" s="47">
        <v>0</v>
      </c>
      <c r="AB274" s="47">
        <v>0</v>
      </c>
      <c r="AC274" s="47">
        <f>IF($B$262,,IF($I$274="nca",IF($Z$274&gt;=0,0,ABS($Z$274)),IF($I$274="ncb",0,IF($I$274="atb",IF($Z$274&gt;=0,0,IF($D$273-$AA$274&lt;0,0,IF(ABS($Z$274)&gt;$D$273-$AA$274,$D$273-$AA$274,ABS($Z$274)))),IF($I$274="bta",0,"err")))))</f>
        <v>0</v>
      </c>
      <c r="AD274" s="47">
        <f>IF($B$262,,IF($I$274="nca",0,IF($I$274="ncb",IF($Z$274&gt;=0,-ABS($Z$274),0),IF($I$274="atb",0,IF($I$274="bta",IF($Z$274&lt;=0,0,IF($D$273+$AB$274&gt;0,0,IF(ABS($Z$274)&lt;ABS($D$273+$AB$274),-ABS($Z$274),$D$273+$AB$274))),"err")))))</f>
        <v>0</v>
      </c>
      <c r="AE274" s="47">
        <f>IF($B$262,,IF($I$274="nca",0,IF($I$274="ncb",IF($Z$274&lt;=0,-ABS($Z$274),0),IF($I$274="atb",IF($Z$274&lt;0,$Z$274+$AC$274,0),IF($I$274="bta",IF($Z$274&lt;=0,$Z$274,0),"err")))))</f>
        <v>0</v>
      </c>
      <c r="AF274" s="47">
        <f>IF($B$262,,IF($I$274="nca",IF($Z$274&lt;0,0,ABS($Z$274)),IF($I$274="ncb",0,IF($I$274="atb",IF($Z$274&lt;=0,0,$Z$274),IF($I$274="bta",IF($Z$274&lt;=0,0,$AD$274+$Z$274),"err")))))</f>
        <v>0</v>
      </c>
      <c r="AG274" s="47" t="b">
        <f>IF(SUM(COUNTIFS($AF$274,"&lt;&gt;0",$AF$274,"&lt;&gt;"),COUNTIFS($AC$274,"&lt;&gt;0",$AC$274,"&lt;&gt;"),COUNTIFS($AD$274,"&lt;&gt;0",$AD$274,"&lt;&gt;"),COUNTIFS($AE$274,"&lt;&gt;0",$AE$274,"&lt;&gt;"))=2,TRUE,FALSE)</f>
        <v>0</v>
      </c>
      <c r="AH274" s="47" t="e">
        <f>IF($B$262,NA(),IF($Z$274=0,NA(),IF($AG$274,SUM($AC$274,$AF$274,$AD$274,$AE$274)/2,IF(OR($AF$274&lt;&gt;0,$AD$274&lt;&gt;0),$D$273+$AB$274,$D$273-$AA$274)+$Z$274/2)))</f>
        <v>#N/A</v>
      </c>
    </row>
    <row r="275" spans="1:34">
      <c r="A275" s="47"/>
      <c r="B275" s="47"/>
      <c r="C275" s="47" t="e">
        <f>#REF!</f>
        <v>#REF!</v>
      </c>
      <c r="D275" s="47" t="e">
        <f>SUM($D$274,$C$275)</f>
        <v>#REF!</v>
      </c>
      <c r="E275" s="47" t="e">
        <f>$D$274&gt;=0</f>
        <v>#REF!</v>
      </c>
      <c r="F275" s="47" t="e">
        <f>IF($B$262,AND($D$274&lt;=0,SUM($D$274,$C$275)&gt; 0),AND($D$274&lt;=0,SUM($D$274,$R$275)&gt; 0))</f>
        <v>#REF!</v>
      </c>
      <c r="G275" s="47" t="e">
        <f>IF($B$262,AND($D$274&gt;=0,SUM($D$274,$C$275)&lt; 0),AND($D$274&gt;=0,SUM($D$274,$Q$275)&lt; 0))</f>
        <v>#REF!</v>
      </c>
      <c r="H275" s="47" t="e">
        <f>OR($G$275,$F$275)</f>
        <v>#REF!</v>
      </c>
      <c r="I275" s="47" t="e">
        <f>IF($H$275,IF($G$275,"atb","bta"),IF($E$275,"nca","ncb"))</f>
        <v>#REF!</v>
      </c>
      <c r="J275" s="47" t="e">
        <f>IF($H$275,0,IF($B$262,IF($E$275,IF($C$275&gt;=0,$D$274,$D$274+$C$275),IF($C$275&gt;=0,$D$274+$C$275,$D$274)),IF($E$275,SUM($D$274,$Q$275),SUM($D$274,$R$275))))</f>
        <v>#REF!</v>
      </c>
      <c r="K275" s="47"/>
      <c r="L275" s="47"/>
      <c r="M275" s="47" t="e">
        <f>IF(COUNTIF(#REF!, "= 0")+ COUNTBLANK(#REF!) = 1,NA(),IF($B$262,NA(),IF($C$275&gt;=0,SUM($D$274,$R$275),NA())))</f>
        <v>#REF!</v>
      </c>
      <c r="N275" s="47" t="e">
        <f>IF(COUNTIF(#REF!, "= 0")+ COUNTBLANK(#REF!) = 1,NA(),IF($B$262,NA(),IF($C$275&gt;=0,NA(),SUM($D$274,$Q$275))))</f>
        <v>#REF!</v>
      </c>
      <c r="O275" s="47" t="e">
        <f>$C$275</f>
        <v>#REF!</v>
      </c>
      <c r="P275" s="47" t="e">
        <f>$C$275</f>
        <v>#REF!</v>
      </c>
      <c r="Q275" s="47">
        <f>SUMIF($Z$275:$Z$275,"&lt;0")</f>
        <v>0</v>
      </c>
      <c r="R275" s="47">
        <f>SUMIF($Z$275:$Z$275,"&gt;0")</f>
        <v>0</v>
      </c>
      <c r="S275" s="47" t="e">
        <f>IF($B$262,IF($I$275="nca",IF($C$275&gt;=0,0,ABS($C$275)),IF($I$275="ncb",0,IF($I$275="atb",IF($C$275&gt;=0,0,IF($D$274&lt;0,0,IF(ABS($C$275)&gt;$D$274,$D$274,ABS($C$275)))),IF($I$275="bta",0,"err")))),)</f>
        <v>#REF!</v>
      </c>
      <c r="T275" s="47" t="e">
        <f>IF($B$262,IF($I$275="nca",IF($C$275&lt;0,0,ABS($C$275)),IF($I$275="ncb",0,IF($I$275="atb",IF($C$275&lt;=0,0,$C$275),IF($I$275="bta",IF($C$275&lt;=0,0,$V$275+$C$275),"err")))),)</f>
        <v>#REF!</v>
      </c>
      <c r="U275" s="47" t="e">
        <f>IF($B$262,IF($I$275="nca",0,IF($I$275="ncb",IF($C$275&lt;=0,-ABS($C$275),0),IF($I$275="atb",IF($C$275&lt;0,$C$275+$S$275,0),IF($I$275="bta",IF($C$275&lt;=0,$C$275,0),"err")))),)</f>
        <v>#REF!</v>
      </c>
      <c r="V275" s="47" t="e">
        <f>IF($B$262,IF($I$275="nca",0,IF($I$275="ncb",IF($C$275&gt;=0,-ABS($C$275),0),IF($I$275="atb",0,IF($I$275="bta",IF($C$275&lt;=0,0,IF($D$274&gt;0,0,IF(ABS($C$275)&lt;ABS($D$274),-ABS($C$275),$D$274))),"err")))),)</f>
        <v>#REF!</v>
      </c>
      <c r="W275" s="47" t="e">
        <f>IF($C$275&gt;=0,IF($B$262,IF($C$275=0,NA(),$D$275),NA()),NA())</f>
        <v>#REF!</v>
      </c>
      <c r="X275" s="47" t="e">
        <f>IF($C$275&lt;0,IF($B$262,IF($C$275=0,NA(),$D$275),NA()),NA())</f>
        <v>#REF!</v>
      </c>
      <c r="Y275" s="47" t="e">
        <f>IF(IF($B$262,$C$266 = 0,COUNTIF(#REF!, "= 0")+ COUNTBLANK(#REF!) = 1),$Y$274,NA())</f>
        <v>#REF!</v>
      </c>
      <c r="Z275" s="47" t="e">
        <f>#REF!</f>
        <v>#REF!</v>
      </c>
      <c r="AA275" s="47">
        <v>0</v>
      </c>
      <c r="AB275" s="47">
        <v>0</v>
      </c>
      <c r="AC275" s="47">
        <f>IF($B$262,,IF($I$275="nca",IF($Z$275&gt;=0,0,ABS($Z$275)),IF($I$275="ncb",0,IF($I$275="atb",IF($Z$275&gt;=0,0,IF($D$274-$AA$275&lt;0,0,IF(ABS($Z$275)&gt;$D$274-$AA$275,$D$274-$AA$275,ABS($Z$275)))),IF($I$275="bta",0,"err")))))</f>
        <v>0</v>
      </c>
      <c r="AD275" s="47">
        <f>IF($B$262,,IF($I$275="nca",0,IF($I$275="ncb",IF($Z$275&gt;=0,-ABS($Z$275),0),IF($I$275="atb",0,IF($I$275="bta",IF($Z$275&lt;=0,0,IF($D$274+$AB$275&gt;0,0,IF(ABS($Z$275)&lt;ABS($D$274+$AB$275),-ABS($Z$275),$D$274+$AB$275))),"err")))))</f>
        <v>0</v>
      </c>
      <c r="AE275" s="47">
        <f>IF($B$262,,IF($I$275="nca",0,IF($I$275="ncb",IF($Z$275&lt;=0,-ABS($Z$275),0),IF($I$275="atb",IF($Z$275&lt;0,$Z$275+$AC$275,0),IF($I$275="bta",IF($Z$275&lt;=0,$Z$275,0),"err")))))</f>
        <v>0</v>
      </c>
      <c r="AF275" s="47">
        <f>IF($B$262,,IF($I$275="nca",IF($Z$275&lt;0,0,ABS($Z$275)),IF($I$275="ncb",0,IF($I$275="atb",IF($Z$275&lt;=0,0,$Z$275),IF($I$275="bta",IF($Z$275&lt;=0,0,$AD$275+$Z$275),"err")))))</f>
        <v>0</v>
      </c>
      <c r="AG275" s="47" t="b">
        <f>IF(SUM(COUNTIFS($AF$275,"&lt;&gt;0",$AF$275,"&lt;&gt;"),COUNTIFS($AC$275,"&lt;&gt;0",$AC$275,"&lt;&gt;"),COUNTIFS($AD$275,"&lt;&gt;0",$AD$275,"&lt;&gt;"),COUNTIFS($AE$275,"&lt;&gt;0",$AE$275,"&lt;&gt;"))=2,TRUE,FALSE)</f>
        <v>0</v>
      </c>
      <c r="AH275" s="47" t="e">
        <f>IF($B$262,NA(),IF($Z$275=0,NA(),IF($AG$275,SUM($AC$275,$AF$275,$AD$275,$AE$275)/2,IF(OR($AF$275&lt;&gt;0,$AD$275&lt;&gt;0),$D$274+$AB$275,$D$274-$AA$275)+$Z$275/2)))</f>
        <v>#N/A</v>
      </c>
    </row>
    <row r="276" spans="1:34">
      <c r="A276" s="47"/>
      <c r="B276" s="47"/>
      <c r="C276" s="47" t="e">
        <f>#REF!</f>
        <v>#REF!</v>
      </c>
      <c r="D276" s="47" t="e">
        <f>$C$276</f>
        <v>#REF!</v>
      </c>
      <c r="E276" s="47"/>
      <c r="F276" s="47"/>
      <c r="G276" s="47"/>
      <c r="H276" s="47"/>
      <c r="I276" s="47"/>
      <c r="J276" s="47"/>
      <c r="K276" s="47" t="e">
        <f>IF(COUNTIF(#REF!, "= 0")+ COUNTBLANK(#REF!) = 1,NA(),IF($B$261,$D$276,NA()))</f>
        <v>#REF!</v>
      </c>
      <c r="L276" s="47" t="e">
        <f>$D$276</f>
        <v>#REF!</v>
      </c>
      <c r="M276" s="47" t="e">
        <f>IF(COUNTIF(#REF!, "= 0")+ COUNTBLANK(#REF!) = 1,NA(),IF($B$261,NA(),IF($C$276&gt;= 0,$R$276,NA())))</f>
        <v>#REF!</v>
      </c>
      <c r="N276" s="47" t="e">
        <f>IF(COUNTIF(#REF!, "= 0")+ COUNTBLANK(#REF!) = 1,NA(),IF($B$261,NA(),IF($C$276&lt;= 0,$Q$276,NA())))</f>
        <v>#REF!</v>
      </c>
      <c r="O276" s="47" t="e">
        <f>$C$276</f>
        <v>#REF!</v>
      </c>
      <c r="P276" s="47" t="e">
        <f>$C$276</f>
        <v>#REF!</v>
      </c>
      <c r="Q276" s="47">
        <f>SUMIF($Z$276:$Z$276,"&lt;0")</f>
        <v>0</v>
      </c>
      <c r="R276" s="47">
        <f>SUMIF($Z$276:$Z$276,"&gt;0")</f>
        <v>0</v>
      </c>
      <c r="S276" s="47"/>
      <c r="T276" s="47"/>
      <c r="U276" s="47"/>
      <c r="V276" s="47"/>
      <c r="W276" s="47"/>
      <c r="X276" s="47"/>
      <c r="Y276" s="47" t="e">
        <f>$D$266</f>
        <v>#REF!</v>
      </c>
      <c r="Z276" s="47" t="e">
        <f>#REF!</f>
        <v>#REF!</v>
      </c>
      <c r="AA276" s="47">
        <v>0</v>
      </c>
      <c r="AB276" s="47">
        <v>0</v>
      </c>
      <c r="AC276" s="47"/>
      <c r="AD276" s="47"/>
      <c r="AE276" s="47">
        <f>IF($B$261,,IF($Z$276 &lt; 0,$Z$276,))</f>
        <v>0</v>
      </c>
      <c r="AF276" s="47">
        <f>IF($B$261,,IF($Z$276 &gt; 0,$Z$276,))</f>
        <v>0</v>
      </c>
      <c r="AG276" s="47"/>
      <c r="AH276" s="47" t="e">
        <f>IF($B$261,NA(),IF($Z$276 = 0,NA(),IF($Z$276 &gt; 0,$AB$276 + $Z$276/2,-$AA$276 + $Z$276/2)))</f>
        <v>#N/A</v>
      </c>
    </row>
    <row r="277" spans="1:34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 t="e">
        <f>$D$266</f>
        <v>#REF!</v>
      </c>
      <c r="Z277" s="47"/>
      <c r="AA277" s="47"/>
      <c r="AB277" s="47"/>
      <c r="AC277" s="47"/>
      <c r="AD277" s="47"/>
      <c r="AE277" s="47"/>
      <c r="AF277" s="47"/>
      <c r="AG277" s="47"/>
      <c r="AH277" s="47"/>
    </row>
    <row r="278" spans="1:34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 t="e">
        <f>IF(IF($B$262,$C$267 = 0,COUNTIF(#REF!, "= 0")+ COUNTBLANK(#REF!) = 1),$Y$277,NA())</f>
        <v>#REF!</v>
      </c>
      <c r="Z278" s="47"/>
      <c r="AA278" s="47"/>
      <c r="AB278" s="47"/>
      <c r="AC278" s="47"/>
      <c r="AD278" s="47"/>
      <c r="AE278" s="47"/>
      <c r="AF278" s="47"/>
      <c r="AG278" s="47"/>
      <c r="AH278" s="47"/>
    </row>
    <row r="279" spans="1:34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 t="e">
        <f>$D$267</f>
        <v>#REF!</v>
      </c>
      <c r="Z279" s="47"/>
      <c r="AA279" s="47"/>
      <c r="AB279" s="47"/>
      <c r="AC279" s="47"/>
      <c r="AD279" s="47"/>
      <c r="AE279" s="47"/>
      <c r="AF279" s="47"/>
      <c r="AG279" s="47"/>
      <c r="AH279" s="47"/>
    </row>
    <row r="280" spans="1:34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 t="e">
        <f>$D$267</f>
        <v>#REF!</v>
      </c>
      <c r="Z280" s="47"/>
      <c r="AA280" s="47"/>
      <c r="AB280" s="47"/>
      <c r="AC280" s="47"/>
      <c r="AD280" s="47"/>
      <c r="AE280" s="47"/>
      <c r="AF280" s="47"/>
      <c r="AG280" s="47"/>
      <c r="AH280" s="47"/>
    </row>
    <row r="281" spans="1:34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 t="e">
        <f>IF(IF($B$262,$C$268 = 0,COUNTIF(#REF!, "= 0")+ COUNTBLANK(#REF!) = 1),$Y$280,NA())</f>
        <v>#REF!</v>
      </c>
      <c r="Z281" s="47"/>
      <c r="AA281" s="47"/>
      <c r="AB281" s="47"/>
      <c r="AC281" s="47"/>
      <c r="AD281" s="47"/>
      <c r="AE281" s="47"/>
      <c r="AF281" s="47"/>
      <c r="AG281" s="47"/>
      <c r="AH281" s="47"/>
    </row>
    <row r="282" spans="1:34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 t="e">
        <f>$D$268</f>
        <v>#REF!</v>
      </c>
      <c r="Z282" s="47"/>
      <c r="AA282" s="47"/>
      <c r="AB282" s="47"/>
      <c r="AC282" s="47"/>
      <c r="AD282" s="47"/>
      <c r="AE282" s="47"/>
      <c r="AF282" s="47"/>
      <c r="AG282" s="47"/>
      <c r="AH282" s="47"/>
    </row>
    <row r="283" spans="1:34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 t="e">
        <f>$D$268</f>
        <v>#REF!</v>
      </c>
      <c r="Z283" s="47"/>
      <c r="AA283" s="47"/>
      <c r="AB283" s="47"/>
      <c r="AC283" s="47"/>
      <c r="AD283" s="47"/>
      <c r="AE283" s="47"/>
      <c r="AF283" s="47"/>
      <c r="AG283" s="47"/>
      <c r="AH283" s="47"/>
    </row>
    <row r="284" spans="1:3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 t="e">
        <f>IF(IF($B$262,$C$269 = 0,COUNTIF(#REF!, "= 0")+ COUNTBLANK(#REF!) = 1),$Y$283,NA())</f>
        <v>#REF!</v>
      </c>
      <c r="Z284" s="47"/>
      <c r="AA284" s="47"/>
      <c r="AB284" s="47"/>
      <c r="AC284" s="47"/>
      <c r="AD284" s="47"/>
      <c r="AE284" s="47"/>
      <c r="AF284" s="47"/>
      <c r="AG284" s="47"/>
      <c r="AH284" s="47"/>
    </row>
    <row r="285" spans="1:34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 t="e">
        <f>$D$269</f>
        <v>#REF!</v>
      </c>
      <c r="Z285" s="47"/>
      <c r="AA285" s="47"/>
      <c r="AB285" s="47"/>
      <c r="AC285" s="47"/>
      <c r="AD285" s="47"/>
      <c r="AE285" s="47"/>
      <c r="AF285" s="47"/>
      <c r="AG285" s="47"/>
      <c r="AH285" s="47"/>
    </row>
    <row r="286" spans="1:34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 t="e">
        <f>$D$269</f>
        <v>#REF!</v>
      </c>
      <c r="Z286" s="47"/>
      <c r="AA286" s="47"/>
      <c r="AB286" s="47"/>
      <c r="AC286" s="47"/>
      <c r="AD286" s="47"/>
      <c r="AE286" s="47"/>
      <c r="AF286" s="47"/>
      <c r="AG286" s="47"/>
      <c r="AH286" s="47"/>
    </row>
    <row r="287" spans="1:34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 t="e">
        <f>IF(IF($B$262,$C$270 = 0,COUNTIF(#REF!, "= 0")+ COUNTBLANK(#REF!) = 1),$Y$286,NA())</f>
        <v>#REF!</v>
      </c>
      <c r="Z287" s="47"/>
      <c r="AA287" s="47"/>
      <c r="AB287" s="47"/>
      <c r="AC287" s="47"/>
      <c r="AD287" s="47"/>
      <c r="AE287" s="47"/>
      <c r="AF287" s="47"/>
      <c r="AG287" s="47"/>
      <c r="AH287" s="47"/>
    </row>
    <row r="288" spans="1:34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 t="e">
        <f>$D$270</f>
        <v>#REF!</v>
      </c>
      <c r="Z288" s="47"/>
      <c r="AA288" s="47"/>
      <c r="AB288" s="47"/>
      <c r="AC288" s="47"/>
      <c r="AD288" s="47"/>
      <c r="AE288" s="47"/>
      <c r="AF288" s="47"/>
      <c r="AG288" s="47"/>
      <c r="AH288" s="47"/>
    </row>
    <row r="289" spans="1:34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 t="e">
        <f>$D$270</f>
        <v>#REF!</v>
      </c>
      <c r="Z289" s="47"/>
      <c r="AA289" s="47"/>
      <c r="AB289" s="47"/>
      <c r="AC289" s="47"/>
      <c r="AD289" s="47"/>
      <c r="AE289" s="47"/>
      <c r="AF289" s="47"/>
      <c r="AG289" s="47"/>
      <c r="AH289" s="47"/>
    </row>
    <row r="290" spans="1:34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 t="e">
        <f>IF(IF($B$262,$C$271 = 0,COUNTIF(#REF!, "= 0")+ COUNTBLANK(#REF!) = 1),$Y$289,NA())</f>
        <v>#REF!</v>
      </c>
      <c r="Z290" s="47"/>
      <c r="AA290" s="47"/>
      <c r="AB290" s="47"/>
      <c r="AC290" s="47"/>
      <c r="AD290" s="47"/>
      <c r="AE290" s="47"/>
      <c r="AF290" s="47"/>
      <c r="AG290" s="47"/>
      <c r="AH290" s="47"/>
    </row>
    <row r="291" spans="1:34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 t="e">
        <f>$D$271</f>
        <v>#REF!</v>
      </c>
      <c r="Z291" s="47"/>
      <c r="AA291" s="47"/>
      <c r="AB291" s="47"/>
      <c r="AC291" s="47"/>
      <c r="AD291" s="47"/>
      <c r="AE291" s="47"/>
      <c r="AF291" s="47"/>
      <c r="AG291" s="47"/>
      <c r="AH291" s="47"/>
    </row>
    <row r="292" spans="1:34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 t="e">
        <f>$D$271</f>
        <v>#REF!</v>
      </c>
      <c r="Z292" s="47"/>
      <c r="AA292" s="47"/>
      <c r="AB292" s="47"/>
      <c r="AC292" s="47"/>
      <c r="AD292" s="47"/>
      <c r="AE292" s="47"/>
      <c r="AF292" s="47"/>
      <c r="AG292" s="47"/>
      <c r="AH292" s="47"/>
    </row>
    <row r="293" spans="1:34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 t="e">
        <f>IF(IF($B$262,$C$272 = 0,COUNTIF(#REF!, "= 0")+ COUNTBLANK(#REF!) = 1),$Y$292,NA())</f>
        <v>#REF!</v>
      </c>
      <c r="Z293" s="47"/>
      <c r="AA293" s="47"/>
      <c r="AB293" s="47"/>
      <c r="AC293" s="47"/>
      <c r="AD293" s="47"/>
      <c r="AE293" s="47"/>
      <c r="AF293" s="47"/>
      <c r="AG293" s="47"/>
      <c r="AH293" s="47"/>
    </row>
    <row r="294" spans="1:3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 t="e">
        <f>$D$272</f>
        <v>#REF!</v>
      </c>
      <c r="Z294" s="47"/>
      <c r="AA294" s="47"/>
      <c r="AB294" s="47"/>
      <c r="AC294" s="47"/>
      <c r="AD294" s="47"/>
      <c r="AE294" s="47"/>
      <c r="AF294" s="47"/>
      <c r="AG294" s="47"/>
      <c r="AH294" s="47"/>
    </row>
    <row r="295" spans="1:34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 t="e">
        <f>$D$272</f>
        <v>#REF!</v>
      </c>
      <c r="Z295" s="47"/>
      <c r="AA295" s="47"/>
      <c r="AB295" s="47"/>
      <c r="AC295" s="47"/>
      <c r="AD295" s="47"/>
      <c r="AE295" s="47"/>
      <c r="AF295" s="47"/>
      <c r="AG295" s="47"/>
      <c r="AH295" s="47"/>
    </row>
    <row r="296" spans="1:34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 t="e">
        <f>IF(IF($B$262,$C$273 = 0,COUNTIF(#REF!, "= 0")+ COUNTBLANK(#REF!) = 1),$Y$295,NA())</f>
        <v>#REF!</v>
      </c>
      <c r="Z296" s="47"/>
      <c r="AA296" s="47"/>
      <c r="AB296" s="47"/>
      <c r="AC296" s="47"/>
      <c r="AD296" s="47"/>
      <c r="AE296" s="47"/>
      <c r="AF296" s="47"/>
      <c r="AG296" s="47"/>
      <c r="AH296" s="47"/>
    </row>
    <row r="297" spans="1:34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 t="e">
        <f>$D$273</f>
        <v>#REF!</v>
      </c>
      <c r="Z297" s="47"/>
      <c r="AA297" s="47"/>
      <c r="AB297" s="47"/>
      <c r="AC297" s="47"/>
      <c r="AD297" s="47"/>
      <c r="AE297" s="47"/>
      <c r="AF297" s="47"/>
      <c r="AG297" s="47"/>
      <c r="AH297" s="47"/>
    </row>
    <row r="298" spans="1:34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 t="e">
        <f>$D$273</f>
        <v>#REF!</v>
      </c>
      <c r="Z298" s="47"/>
      <c r="AA298" s="47"/>
      <c r="AB298" s="47"/>
      <c r="AC298" s="47"/>
      <c r="AD298" s="47"/>
      <c r="AE298" s="47"/>
      <c r="AF298" s="47"/>
      <c r="AG298" s="47"/>
      <c r="AH298" s="47"/>
    </row>
    <row r="299" spans="1:34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 t="e">
        <f>IF(IF($B$262,$C$274 = 0,COUNTIF(#REF!, "= 0")+ COUNTBLANK(#REF!) = 1),$Y$298,NA())</f>
        <v>#REF!</v>
      </c>
      <c r="Z299" s="47"/>
      <c r="AA299" s="47"/>
      <c r="AB299" s="47"/>
      <c r="AC299" s="47"/>
      <c r="AD299" s="47"/>
      <c r="AE299" s="47"/>
      <c r="AF299" s="47"/>
      <c r="AG299" s="47"/>
      <c r="AH299" s="47"/>
    </row>
    <row r="300" spans="1:34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 t="e">
        <f>$D$274</f>
        <v>#REF!</v>
      </c>
      <c r="Z300" s="47"/>
      <c r="AA300" s="47"/>
      <c r="AB300" s="47"/>
      <c r="AC300" s="47"/>
      <c r="AD300" s="47"/>
      <c r="AE300" s="47"/>
      <c r="AF300" s="47"/>
      <c r="AG300" s="47"/>
      <c r="AH300" s="47"/>
    </row>
    <row r="301" spans="1:34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 t="e">
        <f>$D$274</f>
        <v>#REF!</v>
      </c>
      <c r="Z301" s="47"/>
      <c r="AA301" s="47"/>
      <c r="AB301" s="47"/>
      <c r="AC301" s="47"/>
      <c r="AD301" s="47"/>
      <c r="AE301" s="47"/>
      <c r="AF301" s="47"/>
      <c r="AG301" s="47"/>
      <c r="AH301" s="47"/>
    </row>
    <row r="302" spans="1:34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 t="e">
        <f>IF(IF($B$262,$C$275 = 0,COUNTIF(#REF!, "= 0")+ COUNTBLANK(#REF!) = 1),$Y$301,NA())</f>
        <v>#REF!</v>
      </c>
      <c r="Z302" s="47"/>
      <c r="AA302" s="47"/>
      <c r="AB302" s="47"/>
      <c r="AC302" s="47"/>
      <c r="AD302" s="47"/>
      <c r="AE302" s="47"/>
      <c r="AF302" s="47"/>
      <c r="AG302" s="47"/>
      <c r="AH302" s="47"/>
    </row>
    <row r="303" spans="1:34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 t="e">
        <f>$D$275</f>
        <v>#REF!</v>
      </c>
      <c r="Z303" s="47"/>
      <c r="AA303" s="47"/>
      <c r="AB303" s="47"/>
      <c r="AC303" s="47"/>
      <c r="AD303" s="47"/>
      <c r="AE303" s="47"/>
      <c r="AF303" s="47"/>
      <c r="AG303" s="47"/>
      <c r="AH303" s="47"/>
    </row>
    <row r="304" spans="1:3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 t="e">
        <f>$D$275</f>
        <v>#REF!</v>
      </c>
      <c r="Z304" s="47"/>
      <c r="AA304" s="47"/>
      <c r="AB304" s="47"/>
      <c r="AC304" s="47"/>
      <c r="AD304" s="47"/>
      <c r="AE304" s="47"/>
      <c r="AF304" s="47"/>
      <c r="AG304" s="47"/>
      <c r="AH304" s="47"/>
    </row>
    <row r="305" spans="1:34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 t="e">
        <f>IF(IF($B$262,$C$276 = 0,COUNTIF(#REF!, "= 0")+ COUNTBLANK(#REF!) = 1),$Y$304,NA())</f>
        <v>#REF!</v>
      </c>
      <c r="Z305" s="47"/>
      <c r="AA305" s="47"/>
      <c r="AB305" s="47"/>
      <c r="AC305" s="47"/>
      <c r="AD305" s="47"/>
      <c r="AE305" s="47"/>
      <c r="AF305" s="47"/>
      <c r="AG305" s="47"/>
      <c r="AH305" s="47"/>
    </row>
    <row r="307" spans="1:34">
      <c r="A307" s="47" t="s">
        <v>93</v>
      </c>
      <c r="B307" s="47" t="s">
        <v>94</v>
      </c>
      <c r="C307" s="47" t="s">
        <v>95</v>
      </c>
      <c r="D307" s="47" t="s">
        <v>96</v>
      </c>
      <c r="E307" s="47" t="s">
        <v>97</v>
      </c>
      <c r="F307" s="47" t="s">
        <v>98</v>
      </c>
      <c r="G307" s="47" t="s">
        <v>99</v>
      </c>
      <c r="H307" s="47" t="s">
        <v>100</v>
      </c>
      <c r="I307" s="47" t="s">
        <v>101</v>
      </c>
      <c r="J307" s="47" t="s">
        <v>102</v>
      </c>
      <c r="K307" s="47" t="s">
        <v>103</v>
      </c>
      <c r="L307" s="47" t="s">
        <v>104</v>
      </c>
      <c r="M307" s="47" t="s">
        <v>105</v>
      </c>
      <c r="N307" s="47" t="s">
        <v>106</v>
      </c>
      <c r="O307" s="47" t="s">
        <v>107</v>
      </c>
      <c r="P307" s="47" t="s">
        <v>108</v>
      </c>
      <c r="Q307" s="47" t="s">
        <v>109</v>
      </c>
      <c r="R307" s="47" t="s">
        <v>110</v>
      </c>
      <c r="S307" s="47" t="s">
        <v>111</v>
      </c>
      <c r="T307" s="47" t="s">
        <v>112</v>
      </c>
      <c r="U307" s="47" t="s">
        <v>113</v>
      </c>
      <c r="V307" s="47" t="s">
        <v>114</v>
      </c>
      <c r="W307" s="47" t="s">
        <v>115</v>
      </c>
      <c r="X307" s="47" t="s">
        <v>116</v>
      </c>
      <c r="Y307" s="47" t="s">
        <v>117</v>
      </c>
      <c r="Z307" s="47" t="s">
        <v>118</v>
      </c>
      <c r="AA307" s="47" t="s">
        <v>119</v>
      </c>
      <c r="AB307" s="47" t="s">
        <v>120</v>
      </c>
      <c r="AC307" s="47" t="s">
        <v>121</v>
      </c>
      <c r="AD307" s="47" t="s">
        <v>122</v>
      </c>
      <c r="AE307" s="47" t="s">
        <v>123</v>
      </c>
      <c r="AF307" s="47" t="s">
        <v>124</v>
      </c>
      <c r="AG307" s="47" t="s">
        <v>125</v>
      </c>
      <c r="AH307" s="47" t="s">
        <v>126</v>
      </c>
    </row>
    <row r="308" spans="1:34">
      <c r="A308" s="47">
        <v>8</v>
      </c>
      <c r="B308" s="47" t="b">
        <v>1</v>
      </c>
      <c r="C308" s="47" t="e">
        <f>#REF!</f>
        <v>#REF!</v>
      </c>
      <c r="D308" s="47" t="e">
        <f>$C$308</f>
        <v>#REF!</v>
      </c>
      <c r="E308" s="47"/>
      <c r="F308" s="47"/>
      <c r="G308" s="47"/>
      <c r="H308" s="47"/>
      <c r="I308" s="47"/>
      <c r="J308" s="47"/>
      <c r="K308" s="47" t="e">
        <f>IF(COUNTIF(#REF!, "= 0")+ COUNTBLANK(#REF!) = 1,NA(),IF($B$308,$D$308,NA()))</f>
        <v>#REF!</v>
      </c>
      <c r="L308" s="47" t="e">
        <f>$D$308</f>
        <v>#REF!</v>
      </c>
      <c r="M308" s="47" t="e">
        <f>IF(COUNTIF(#REF!, "= 0")+ COUNTBLANK(#REF!) = 1,NA(),IF($B$308,NA(),IF($C$308&gt;= 0,$R$308,NA())))</f>
        <v>#REF!</v>
      </c>
      <c r="N308" s="47" t="e">
        <f>IF(COUNTIF(#REF!, "= 0")+ COUNTBLANK(#REF!) = 1,NA(),IF($B$308,NA(),IF($C$308&lt;= 0,$Q$308,NA())))</f>
        <v>#REF!</v>
      </c>
      <c r="O308" s="47" t="e">
        <f>$C$308</f>
        <v>#REF!</v>
      </c>
      <c r="P308" s="47" t="e">
        <f>$C$308</f>
        <v>#REF!</v>
      </c>
      <c r="Q308" s="47">
        <f>SUMIF($Z$308:$Z$308,"&lt;0")</f>
        <v>0</v>
      </c>
      <c r="R308" s="47">
        <f>SUMIF($Z$308:$Z$308,"&gt;0")</f>
        <v>0</v>
      </c>
      <c r="S308" s="47"/>
      <c r="T308" s="47"/>
      <c r="U308" s="47"/>
      <c r="V308" s="47"/>
      <c r="W308" s="47"/>
      <c r="X308" s="47"/>
      <c r="Y308" s="47" t="e">
        <f>$D$308</f>
        <v>#REF!</v>
      </c>
      <c r="Z308" s="47" t="e">
        <f>#REF!</f>
        <v>#REF!</v>
      </c>
      <c r="AA308" s="47">
        <v>0</v>
      </c>
      <c r="AB308" s="47">
        <v>0</v>
      </c>
      <c r="AC308" s="47"/>
      <c r="AD308" s="47"/>
      <c r="AE308" s="47">
        <f>IF($B$308,,IF($Z$308 &lt; 0,$Z$308,))</f>
        <v>0</v>
      </c>
      <c r="AF308" s="47">
        <f>IF($B$308,,IF($Z$308 &gt; 0,$Z$308,))</f>
        <v>0</v>
      </c>
      <c r="AG308" s="47"/>
      <c r="AH308" s="47" t="e">
        <f>IF($B$308,NA(),IF($Z$308 = 0,NA(),IF($Z$308 &gt; 0,$AB$308 + $Z$308/2,-$AA$308 + $Z$308/2)))</f>
        <v>#N/A</v>
      </c>
    </row>
    <row r="309" spans="1:34">
      <c r="A309" s="47"/>
      <c r="B309" s="47" t="b">
        <v>1</v>
      </c>
      <c r="C309" s="47" t="e">
        <f>#REF!</f>
        <v>#REF!</v>
      </c>
      <c r="D309" s="47" t="e">
        <f>SUM($D$308,$C$309)</f>
        <v>#REF!</v>
      </c>
      <c r="E309" s="47" t="e">
        <f>$D$308&gt;=0</f>
        <v>#REF!</v>
      </c>
      <c r="F309" s="47" t="e">
        <f>IF($B$309,AND($D$308&lt;=0,SUM($D$308,$C$309)&gt; 0),AND($D$308&lt;=0,SUM($D$308,$R$309)&gt; 0))</f>
        <v>#REF!</v>
      </c>
      <c r="G309" s="47" t="e">
        <f>IF($B$309,AND($D$308&gt;=0,SUM($D$308,$C$309)&lt; 0),AND($D$308&gt;=0,SUM($D$308,$Q$309)&lt; 0))</f>
        <v>#REF!</v>
      </c>
      <c r="H309" s="47" t="e">
        <f>OR($G$309,$F$309)</f>
        <v>#REF!</v>
      </c>
      <c r="I309" s="47" t="e">
        <f>IF($H$309,IF($G$309,"atb","bta"),IF($E$309,"nca","ncb"))</f>
        <v>#REF!</v>
      </c>
      <c r="J309" s="47" t="e">
        <f>IF($H$309,0,IF($B$309,IF($E$309,IF($C$309&gt;=0,$D$308,$D$308+$C$309),IF($C$309&gt;=0,$D$308+$C$309,$D$308)),IF($E$309,SUM($D$308,$Q$309),SUM($D$308,$R$309))))</f>
        <v>#REF!</v>
      </c>
      <c r="K309" s="47"/>
      <c r="L309" s="47"/>
      <c r="M309" s="47" t="e">
        <f>IF(COUNTIF(#REF!, "= 0")+ COUNTBLANK(#REF!) = 1,NA(),IF($B$309,NA(),IF($C$309&gt;=0,SUM($D$308,$R$309),NA())))</f>
        <v>#REF!</v>
      </c>
      <c r="N309" s="47" t="e">
        <f>IF(COUNTIF(#REF!, "= 0")+ COUNTBLANK(#REF!) = 1,NA(),IF($B$309,NA(),IF($C$309&gt;=0,NA(),SUM($D$308,$Q$309))))</f>
        <v>#REF!</v>
      </c>
      <c r="O309" s="47" t="e">
        <f>$C$309</f>
        <v>#REF!</v>
      </c>
      <c r="P309" s="47" t="e">
        <f>$C$309</f>
        <v>#REF!</v>
      </c>
      <c r="Q309" s="47">
        <f>SUMIF($Z$309:$Z$309,"&lt;0")</f>
        <v>0</v>
      </c>
      <c r="R309" s="47">
        <f>SUMIF($Z$309:$Z$309,"&gt;0")</f>
        <v>0</v>
      </c>
      <c r="S309" s="47" t="e">
        <f>IF($B$309,IF($I$309="nca",IF($C$309&gt;=0,0,ABS($C$309)),IF($I$309="ncb",0,IF($I$309="atb",IF($C$309&gt;=0,0,IF($D$308&lt;0,0,IF(ABS($C$309)&gt;$D$308,$D$308,ABS($C$309)))),IF($I$309="bta",0,"err")))),)</f>
        <v>#REF!</v>
      </c>
      <c r="T309" s="47" t="e">
        <f>IF($B$309,IF($I$309="nca",IF($C$309&lt;0,0,ABS($C$309)),IF($I$309="ncb",0,IF($I$309="atb",IF($C$309&lt;=0,0,$C$309),IF($I$309="bta",IF($C$309&lt;=0,0,$V$309+$C$309),"err")))),)</f>
        <v>#REF!</v>
      </c>
      <c r="U309" s="47" t="e">
        <f>IF($B$309,IF($I$309="nca",0,IF($I$309="ncb",IF($C$309&lt;=0,-ABS($C$309),0),IF($I$309="atb",IF($C$309&lt;0,$C$309+$S$309,0),IF($I$309="bta",IF($C$309&lt;=0,$C$309,0),"err")))),)</f>
        <v>#REF!</v>
      </c>
      <c r="V309" s="47" t="e">
        <f>IF($B$309,IF($I$309="nca",0,IF($I$309="ncb",IF($C$309&gt;=0,-ABS($C$309),0),IF($I$309="atb",0,IF($I$309="bta",IF($C$309&lt;=0,0,IF($D$308&gt;0,0,IF(ABS($C$309)&lt;ABS($D$308),-ABS($C$309),$D$308))),"err")))),)</f>
        <v>#REF!</v>
      </c>
      <c r="W309" s="47" t="e">
        <f>IF($C$309&gt;=0,IF($B$309,IF($C$309=0,NA(),$D$309),NA()),NA())</f>
        <v>#REF!</v>
      </c>
      <c r="X309" s="47" t="e">
        <f>IF($C$309&lt;0,IF($B$309,IF($C$309=0,NA(),$D$309),NA()),NA())</f>
        <v>#REF!</v>
      </c>
      <c r="Y309" s="47" t="e">
        <f>$D$308</f>
        <v>#REF!</v>
      </c>
      <c r="Z309" s="47" t="e">
        <f>#REF!</f>
        <v>#REF!</v>
      </c>
      <c r="AA309" s="47">
        <v>0</v>
      </c>
      <c r="AB309" s="47">
        <v>0</v>
      </c>
      <c r="AC309" s="47">
        <f>IF($B$309,,IF($I$309="nca",IF($Z$309&gt;=0,0,ABS($Z$309)),IF($I$309="ncb",0,IF($I$309="atb",IF($Z$309&gt;=0,0,IF($D$308-$AA$309&lt;0,0,IF(ABS($Z$309)&gt;$D$308-$AA$309,$D$308-$AA$309,ABS($Z$309)))),IF($I$309="bta",0,"err")))))</f>
        <v>0</v>
      </c>
      <c r="AD309" s="47">
        <f>IF($B$309,,IF($I$309="nca",0,IF($I$309="ncb",IF($Z$309&gt;=0,-ABS($Z$309),0),IF($I$309="atb",0,IF($I$309="bta",IF($Z$309&lt;=0,0,IF($D$308+$AB$309&gt;0,0,IF(ABS($Z$309)&lt;ABS($D$308+$AB$309),-ABS($Z$309),$D$308+$AB$309))),"err")))))</f>
        <v>0</v>
      </c>
      <c r="AE309" s="47">
        <f>IF($B$309,,IF($I$309="nca",0,IF($I$309="ncb",IF($Z$309&lt;=0,-ABS($Z$309),0),IF($I$309="atb",IF($Z$309&lt;0,$Z$309+$AC$309,0),IF($I$309="bta",IF($Z$309&lt;=0,$Z$309,0),"err")))))</f>
        <v>0</v>
      </c>
      <c r="AF309" s="47">
        <f>IF($B$309,,IF($I$309="nca",IF($Z$309&lt;0,0,ABS($Z$309)),IF($I$309="ncb",0,IF($I$309="atb",IF($Z$309&lt;=0,0,$Z$309),IF($I$309="bta",IF($Z$309&lt;=0,0,$AD$309+$Z$309),"err")))))</f>
        <v>0</v>
      </c>
      <c r="AG309" s="47" t="b">
        <f>IF(SUM(COUNTIFS($AF$309,"&lt;&gt;0",$AF$309,"&lt;&gt;"),COUNTIFS($AC$309,"&lt;&gt;0",$AC$309,"&lt;&gt;"),COUNTIFS($AD$309,"&lt;&gt;0",$AD$309,"&lt;&gt;"),COUNTIFS($AE$309,"&lt;&gt;0",$AE$309,"&lt;&gt;"))=2,TRUE,FALSE)</f>
        <v>0</v>
      </c>
      <c r="AH309" s="47" t="e">
        <f>IF($B$309,NA(),IF($Z$309=0,NA(),IF($AG$309,SUM($AC$309,$AF$309,$AD$309,$AE$309)/2,IF(OR($AF$309&lt;&gt;0,$AD$309&lt;&gt;0),$D$308+$AB$309,$D$308-$AA$309)+$Z$309/2)))</f>
        <v>#N/A</v>
      </c>
    </row>
    <row r="310" spans="1:34">
      <c r="A310" s="47"/>
      <c r="B310" s="47"/>
      <c r="C310" s="47" t="e">
        <f>#REF!</f>
        <v>#REF!</v>
      </c>
      <c r="D310" s="47" t="e">
        <f>SUM($D$309,$C$310)</f>
        <v>#REF!</v>
      </c>
      <c r="E310" s="47" t="e">
        <f>$D$309&gt;=0</f>
        <v>#REF!</v>
      </c>
      <c r="F310" s="47" t="e">
        <f>IF($B$309,AND($D$309&lt;=0,SUM($D$309,$C$310)&gt; 0),AND($D$309&lt;=0,SUM($D$309,$R$310)&gt; 0))</f>
        <v>#REF!</v>
      </c>
      <c r="G310" s="47" t="e">
        <f>IF($B$309,AND($D$309&gt;=0,SUM($D$309,$C$310)&lt; 0),AND($D$309&gt;=0,SUM($D$309,$Q$310)&lt; 0))</f>
        <v>#REF!</v>
      </c>
      <c r="H310" s="47" t="e">
        <f>OR($G$310,$F$310)</f>
        <v>#REF!</v>
      </c>
      <c r="I310" s="47" t="e">
        <f>IF($H$310,IF($G$310,"atb","bta"),IF($E$310,"nca","ncb"))</f>
        <v>#REF!</v>
      </c>
      <c r="J310" s="47" t="e">
        <f>IF($H$310,0,IF($B$309,IF($E$310,IF($C$310&gt;=0,$D$309,$D$309+$C$310),IF($C$310&gt;=0,$D$309+$C$310,$D$309)),IF($E$310,SUM($D$309,$Q$310),SUM($D$309,$R$310))))</f>
        <v>#REF!</v>
      </c>
      <c r="K310" s="47"/>
      <c r="L310" s="47"/>
      <c r="M310" s="47" t="e">
        <f>IF(COUNTIF(#REF!, "= 0")+ COUNTBLANK(#REF!) = 1,NA(),IF($B$309,NA(),IF($C$310&gt;=0,SUM($D$309,$R$310),NA())))</f>
        <v>#REF!</v>
      </c>
      <c r="N310" s="47" t="e">
        <f>IF(COUNTIF(#REF!, "= 0")+ COUNTBLANK(#REF!) = 1,NA(),IF($B$309,NA(),IF($C$310&gt;=0,NA(),SUM($D$309,$Q$310))))</f>
        <v>#REF!</v>
      </c>
      <c r="O310" s="47" t="e">
        <f>$C$310</f>
        <v>#REF!</v>
      </c>
      <c r="P310" s="47" t="e">
        <f>$C$310</f>
        <v>#REF!</v>
      </c>
      <c r="Q310" s="47">
        <f>SUMIF($Z$310:$Z$310,"&lt;0")</f>
        <v>0</v>
      </c>
      <c r="R310" s="47">
        <f>SUMIF($Z$310:$Z$310,"&gt;0")</f>
        <v>0</v>
      </c>
      <c r="S310" s="47" t="e">
        <f>IF($B$309,IF($I$310="nca",IF($C$310&gt;=0,0,ABS($C$310)),IF($I$310="ncb",0,IF($I$310="atb",IF($C$310&gt;=0,0,IF($D$309&lt;0,0,IF(ABS($C$310)&gt;$D$309,$D$309,ABS($C$310)))),IF($I$310="bta",0,"err")))),)</f>
        <v>#REF!</v>
      </c>
      <c r="T310" s="47" t="e">
        <f>IF($B$309,IF($I$310="nca",IF($C$310&lt;0,0,ABS($C$310)),IF($I$310="ncb",0,IF($I$310="atb",IF($C$310&lt;=0,0,$C$310),IF($I$310="bta",IF($C$310&lt;=0,0,$V$310+$C$310),"err")))),)</f>
        <v>#REF!</v>
      </c>
      <c r="U310" s="47" t="e">
        <f>IF($B$309,IF($I$310="nca",0,IF($I$310="ncb",IF($C$310&lt;=0,-ABS($C$310),0),IF($I$310="atb",IF($C$310&lt;0,$C$310+$S$310,0),IF($I$310="bta",IF($C$310&lt;=0,$C$310,0),"err")))),)</f>
        <v>#REF!</v>
      </c>
      <c r="V310" s="47" t="e">
        <f>IF($B$309,IF($I$310="nca",0,IF($I$310="ncb",IF($C$310&gt;=0,-ABS($C$310),0),IF($I$310="atb",0,IF($I$310="bta",IF($C$310&lt;=0,0,IF($D$309&gt;0,0,IF(ABS($C$310)&lt;ABS($D$309),-ABS($C$310),$D$309))),"err")))),)</f>
        <v>#REF!</v>
      </c>
      <c r="W310" s="47" t="e">
        <f>IF($C$310&gt;=0,IF($B$309,IF($C$310=0,NA(),$D$310),NA()),NA())</f>
        <v>#REF!</v>
      </c>
      <c r="X310" s="47" t="e">
        <f>IF($C$310&lt;0,IF($B$309,IF($C$310=0,NA(),$D$310),NA()),NA())</f>
        <v>#REF!</v>
      </c>
      <c r="Y310" s="47" t="e">
        <f>IF(IF($B$309,$C$309 = 0,COUNTIF(#REF!, "= 0")+ COUNTBLANK(#REF!) = 1),$Y$309,NA())</f>
        <v>#REF!</v>
      </c>
      <c r="Z310" s="47" t="e">
        <f>#REF!</f>
        <v>#REF!</v>
      </c>
      <c r="AA310" s="47">
        <v>0</v>
      </c>
      <c r="AB310" s="47">
        <v>0</v>
      </c>
      <c r="AC310" s="47">
        <f>IF($B$309,,IF($I$310="nca",IF($Z$310&gt;=0,0,ABS($Z$310)),IF($I$310="ncb",0,IF($I$310="atb",IF($Z$310&gt;=0,0,IF($D$309-$AA$310&lt;0,0,IF(ABS($Z$310)&gt;$D$309-$AA$310,$D$309-$AA$310,ABS($Z$310)))),IF($I$310="bta",0,"err")))))</f>
        <v>0</v>
      </c>
      <c r="AD310" s="47">
        <f>IF($B$309,,IF($I$310="nca",0,IF($I$310="ncb",IF($Z$310&gt;=0,-ABS($Z$310),0),IF($I$310="atb",0,IF($I$310="bta",IF($Z$310&lt;=0,0,IF($D$309+$AB$310&gt;0,0,IF(ABS($Z$310)&lt;ABS($D$309+$AB$310),-ABS($Z$310),$D$309+$AB$310))),"err")))))</f>
        <v>0</v>
      </c>
      <c r="AE310" s="47">
        <f>IF($B$309,,IF($I$310="nca",0,IF($I$310="ncb",IF($Z$310&lt;=0,-ABS($Z$310),0),IF($I$310="atb",IF($Z$310&lt;0,$Z$310+$AC$310,0),IF($I$310="bta",IF($Z$310&lt;=0,$Z$310,0),"err")))))</f>
        <v>0</v>
      </c>
      <c r="AF310" s="47">
        <f>IF($B$309,,IF($I$310="nca",IF($Z$310&lt;0,0,ABS($Z$310)),IF($I$310="ncb",0,IF($I$310="atb",IF($Z$310&lt;=0,0,$Z$310),IF($I$310="bta",IF($Z$310&lt;=0,0,$AD$310+$Z$310),"err")))))</f>
        <v>0</v>
      </c>
      <c r="AG310" s="47" t="b">
        <f>IF(SUM(COUNTIFS($AF$310,"&lt;&gt;0",$AF$310,"&lt;&gt;"),COUNTIFS($AC$310,"&lt;&gt;0",$AC$310,"&lt;&gt;"),COUNTIFS($AD$310,"&lt;&gt;0",$AD$310,"&lt;&gt;"),COUNTIFS($AE$310,"&lt;&gt;0",$AE$310,"&lt;&gt;"))=2,TRUE,FALSE)</f>
        <v>0</v>
      </c>
      <c r="AH310" s="47" t="e">
        <f>IF($B$309,NA(),IF($Z$310=0,NA(),IF($AG$310,SUM($AC$310,$AF$310,$AD$310,$AE$310)/2,IF(OR($AF$310&lt;&gt;0,$AD$310&lt;&gt;0),$D$309+$AB$310,$D$309-$AA$310)+$Z$310/2)))</f>
        <v>#N/A</v>
      </c>
    </row>
    <row r="311" spans="1:34">
      <c r="A311" s="47"/>
      <c r="B311" s="47"/>
      <c r="C311" s="47" t="e">
        <f>#REF!</f>
        <v>#REF!</v>
      </c>
      <c r="D311" s="47" t="e">
        <f>$C$311</f>
        <v>#REF!</v>
      </c>
      <c r="E311" s="47"/>
      <c r="F311" s="47"/>
      <c r="G311" s="47"/>
      <c r="H311" s="47"/>
      <c r="I311" s="47"/>
      <c r="J311" s="47"/>
      <c r="K311" s="47" t="e">
        <f>IF(COUNTIF(#REF!, "= 0")+ COUNTBLANK(#REF!) = 1,NA(),IF($B$308,$D$311,NA()))</f>
        <v>#REF!</v>
      </c>
      <c r="L311" s="47" t="e">
        <f>$D$311</f>
        <v>#REF!</v>
      </c>
      <c r="M311" s="47" t="e">
        <f>IF(COUNTIF(#REF!, "= 0")+ COUNTBLANK(#REF!) = 1,NA(),IF($B$308,NA(),IF($C$311&gt;= 0,$R$311,NA())))</f>
        <v>#REF!</v>
      </c>
      <c r="N311" s="47" t="e">
        <f>IF(COUNTIF(#REF!, "= 0")+ COUNTBLANK(#REF!) = 1,NA(),IF($B$308,NA(),IF($C$311&lt;= 0,$Q$311,NA())))</f>
        <v>#REF!</v>
      </c>
      <c r="O311" s="47" t="e">
        <f>$C$311</f>
        <v>#REF!</v>
      </c>
      <c r="P311" s="47" t="e">
        <f>$C$311</f>
        <v>#REF!</v>
      </c>
      <c r="Q311" s="47">
        <f>SUMIF($Z$311:$Z$311,"&lt;0")</f>
        <v>0</v>
      </c>
      <c r="R311" s="47">
        <f>SUMIF($Z$311:$Z$311,"&gt;0")</f>
        <v>0</v>
      </c>
      <c r="S311" s="47"/>
      <c r="T311" s="47"/>
      <c r="U311" s="47"/>
      <c r="V311" s="47"/>
      <c r="W311" s="47"/>
      <c r="X311" s="47"/>
      <c r="Y311" s="47" t="e">
        <f>$D$309</f>
        <v>#REF!</v>
      </c>
      <c r="Z311" s="47" t="e">
        <f>#REF!</f>
        <v>#REF!</v>
      </c>
      <c r="AA311" s="47">
        <v>0</v>
      </c>
      <c r="AB311" s="47">
        <v>0</v>
      </c>
      <c r="AC311" s="47"/>
      <c r="AD311" s="47"/>
      <c r="AE311" s="47">
        <f>IF($B$308,,IF($Z$311 &lt; 0,$Z$311,))</f>
        <v>0</v>
      </c>
      <c r="AF311" s="47">
        <f>IF($B$308,,IF($Z$311 &gt; 0,$Z$311,))</f>
        <v>0</v>
      </c>
      <c r="AG311" s="47"/>
      <c r="AH311" s="47" t="e">
        <f>IF($B$308,NA(),IF($Z$311 = 0,NA(),IF($Z$311 &gt; 0,$AB$311 + $Z$311/2,-$AA$311 + $Z$311/2)))</f>
        <v>#N/A</v>
      </c>
    </row>
    <row r="312" spans="1:34">
      <c r="A312" s="47"/>
      <c r="B312" s="47"/>
      <c r="C312" s="47" t="e">
        <f>#REF!</f>
        <v>#REF!</v>
      </c>
      <c r="D312" s="47" t="e">
        <f>SUM($D$311,$C$312)</f>
        <v>#REF!</v>
      </c>
      <c r="E312" s="47" t="e">
        <f>$D$311&gt;=0</f>
        <v>#REF!</v>
      </c>
      <c r="F312" s="47" t="e">
        <f>IF($B$309,AND($D$311&lt;=0,SUM($D$311,$C$312)&gt; 0),AND($D$311&lt;=0,SUM($D$311,$R$312)&gt; 0))</f>
        <v>#REF!</v>
      </c>
      <c r="G312" s="47" t="e">
        <f>IF($B$309,AND($D$311&gt;=0,SUM($D$311,$C$312)&lt; 0),AND($D$311&gt;=0,SUM($D$311,$Q$312)&lt; 0))</f>
        <v>#REF!</v>
      </c>
      <c r="H312" s="47" t="e">
        <f>OR($G$312,$F$312)</f>
        <v>#REF!</v>
      </c>
      <c r="I312" s="47" t="e">
        <f>IF($H$312,IF($G$312,"atb","bta"),IF($E$312,"nca","ncb"))</f>
        <v>#REF!</v>
      </c>
      <c r="J312" s="47" t="e">
        <f>IF($H$312,0,IF($B$309,IF($E$312,IF($C$312&gt;=0,$D$311,$D$311+$C$312),IF($C$312&gt;=0,$D$311+$C$312,$D$311)),IF($E$312,SUM($D$311,$Q$312),SUM($D$311,$R$312))))</f>
        <v>#REF!</v>
      </c>
      <c r="K312" s="47"/>
      <c r="L312" s="47"/>
      <c r="M312" s="47" t="e">
        <f>IF(COUNTIF(#REF!, "= 0")+ COUNTBLANK(#REF!) = 1,NA(),IF($B$309,NA(),IF($C$312&gt;=0,SUM($D$311,$R$312),NA())))</f>
        <v>#REF!</v>
      </c>
      <c r="N312" s="47" t="e">
        <f>IF(COUNTIF(#REF!, "= 0")+ COUNTBLANK(#REF!) = 1,NA(),IF($B$309,NA(),IF($C$312&gt;=0,NA(),SUM($D$311,$Q$312))))</f>
        <v>#REF!</v>
      </c>
      <c r="O312" s="47" t="e">
        <f>$C$312</f>
        <v>#REF!</v>
      </c>
      <c r="P312" s="47" t="e">
        <f>$C$312</f>
        <v>#REF!</v>
      </c>
      <c r="Q312" s="47">
        <f>SUMIF($Z$312:$Z$312,"&lt;0")</f>
        <v>0</v>
      </c>
      <c r="R312" s="47">
        <f>SUMIF($Z$312:$Z$312,"&gt;0")</f>
        <v>0</v>
      </c>
      <c r="S312" s="47" t="e">
        <f>IF($B$309,IF($I$312="nca",IF($C$312&gt;=0,0,ABS($C$312)),IF($I$312="ncb",0,IF($I$312="atb",IF($C$312&gt;=0,0,IF($D$311&lt;0,0,IF(ABS($C$312)&gt;$D$311,$D$311,ABS($C$312)))),IF($I$312="bta",0,"err")))),)</f>
        <v>#REF!</v>
      </c>
      <c r="T312" s="47" t="e">
        <f>IF($B$309,IF($I$312="nca",IF($C$312&lt;0,0,ABS($C$312)),IF($I$312="ncb",0,IF($I$312="atb",IF($C$312&lt;=0,0,$C$312),IF($I$312="bta",IF($C$312&lt;=0,0,$V$312+$C$312),"err")))),)</f>
        <v>#REF!</v>
      </c>
      <c r="U312" s="47" t="e">
        <f>IF($B$309,IF($I$312="nca",0,IF($I$312="ncb",IF($C$312&lt;=0,-ABS($C$312),0),IF($I$312="atb",IF($C$312&lt;0,$C$312+$S$312,0),IF($I$312="bta",IF($C$312&lt;=0,$C$312,0),"err")))),)</f>
        <v>#REF!</v>
      </c>
      <c r="V312" s="47" t="e">
        <f>IF($B$309,IF($I$312="nca",0,IF($I$312="ncb",IF($C$312&gt;=0,-ABS($C$312),0),IF($I$312="atb",0,IF($I$312="bta",IF($C$312&lt;=0,0,IF($D$311&gt;0,0,IF(ABS($C$312)&lt;ABS($D$311),-ABS($C$312),$D$311))),"err")))),)</f>
        <v>#REF!</v>
      </c>
      <c r="W312" s="47" t="e">
        <f>IF($C$312&gt;=0,IF($B$309,IF($C$312=0,NA(),$D$312),NA()),NA())</f>
        <v>#REF!</v>
      </c>
      <c r="X312" s="47" t="e">
        <f>IF($C$312&lt;0,IF($B$309,IF($C$312=0,NA(),$D$312),NA()),NA())</f>
        <v>#REF!</v>
      </c>
      <c r="Y312" s="47" t="e">
        <f>$D$309</f>
        <v>#REF!</v>
      </c>
      <c r="Z312" s="47" t="e">
        <f>#REF!</f>
        <v>#REF!</v>
      </c>
      <c r="AA312" s="47">
        <v>0</v>
      </c>
      <c r="AB312" s="47">
        <v>0</v>
      </c>
      <c r="AC312" s="47">
        <f>IF($B$309,,IF($I$312="nca",IF($Z$312&gt;=0,0,ABS($Z$312)),IF($I$312="ncb",0,IF($I$312="atb",IF($Z$312&gt;=0,0,IF($D$311-$AA$312&lt;0,0,IF(ABS($Z$312)&gt;$D$311-$AA$312,$D$311-$AA$312,ABS($Z$312)))),IF($I$312="bta",0,"err")))))</f>
        <v>0</v>
      </c>
      <c r="AD312" s="47">
        <f>IF($B$309,,IF($I$312="nca",0,IF($I$312="ncb",IF($Z$312&gt;=0,-ABS($Z$312),0),IF($I$312="atb",0,IF($I$312="bta",IF($Z$312&lt;=0,0,IF($D$311+$AB$312&gt;0,0,IF(ABS($Z$312)&lt;ABS($D$311+$AB$312),-ABS($Z$312),$D$311+$AB$312))),"err")))))</f>
        <v>0</v>
      </c>
      <c r="AE312" s="47">
        <f>IF($B$309,,IF($I$312="nca",0,IF($I$312="ncb",IF($Z$312&lt;=0,-ABS($Z$312),0),IF($I$312="atb",IF($Z$312&lt;0,$Z$312+$AC$312,0),IF($I$312="bta",IF($Z$312&lt;=0,$Z$312,0),"err")))))</f>
        <v>0</v>
      </c>
      <c r="AF312" s="47">
        <f>IF($B$309,,IF($I$312="nca",IF($Z$312&lt;0,0,ABS($Z$312)),IF($I$312="ncb",0,IF($I$312="atb",IF($Z$312&lt;=0,0,$Z$312),IF($I$312="bta",IF($Z$312&lt;=0,0,$AD$312+$Z$312),"err")))))</f>
        <v>0</v>
      </c>
      <c r="AG312" s="47" t="b">
        <f>IF(SUM(COUNTIFS($AF$312,"&lt;&gt;0",$AF$312,"&lt;&gt;"),COUNTIFS($AC$312,"&lt;&gt;0",$AC$312,"&lt;&gt;"),COUNTIFS($AD$312,"&lt;&gt;0",$AD$312,"&lt;&gt;"),COUNTIFS($AE$312,"&lt;&gt;0",$AE$312,"&lt;&gt;"))=2,TRUE,FALSE)</f>
        <v>0</v>
      </c>
      <c r="AH312" s="47" t="e">
        <f>IF($B$309,NA(),IF($Z$312=0,NA(),IF($AG$312,SUM($AC$312,$AF$312,$AD$312,$AE$312)/2,IF(OR($AF$312&lt;&gt;0,$AD$312&lt;&gt;0),$D$311+$AB$312,$D$311-$AA$312)+$Z$312/2)))</f>
        <v>#N/A</v>
      </c>
    </row>
    <row r="313" spans="1:34">
      <c r="A313" s="47"/>
      <c r="B313" s="47"/>
      <c r="C313" s="47" t="e">
        <f>#REF!</f>
        <v>#REF!</v>
      </c>
      <c r="D313" s="47" t="e">
        <f>SUM($D$312,$C$313)</f>
        <v>#REF!</v>
      </c>
      <c r="E313" s="47" t="e">
        <f>$D$312&gt;=0</f>
        <v>#REF!</v>
      </c>
      <c r="F313" s="47" t="e">
        <f>IF($B$309,AND($D$312&lt;=0,SUM($D$312,$C$313)&gt; 0),AND($D$312&lt;=0,SUM($D$312,$R$313)&gt; 0))</f>
        <v>#REF!</v>
      </c>
      <c r="G313" s="47" t="e">
        <f>IF($B$309,AND($D$312&gt;=0,SUM($D$312,$C$313)&lt; 0),AND($D$312&gt;=0,SUM($D$312,$Q$313)&lt; 0))</f>
        <v>#REF!</v>
      </c>
      <c r="H313" s="47" t="e">
        <f>OR($G$313,$F$313)</f>
        <v>#REF!</v>
      </c>
      <c r="I313" s="47" t="e">
        <f>IF($H$313,IF($G$313,"atb","bta"),IF($E$313,"nca","ncb"))</f>
        <v>#REF!</v>
      </c>
      <c r="J313" s="47" t="e">
        <f>IF($H$313,0,IF($B$309,IF($E$313,IF($C$313&gt;=0,$D$312,$D$312+$C$313),IF($C$313&gt;=0,$D$312+$C$313,$D$312)),IF($E$313,SUM($D$312,$Q$313),SUM($D$312,$R$313))))</f>
        <v>#REF!</v>
      </c>
      <c r="K313" s="47"/>
      <c r="L313" s="47"/>
      <c r="M313" s="47" t="e">
        <f>IF(COUNTIF(#REF!, "= 0")+ COUNTBLANK(#REF!) = 1,NA(),IF($B$309,NA(),IF($C$313&gt;=0,SUM($D$312,$R$313),NA())))</f>
        <v>#REF!</v>
      </c>
      <c r="N313" s="47" t="e">
        <f>IF(COUNTIF(#REF!, "= 0")+ COUNTBLANK(#REF!) = 1,NA(),IF($B$309,NA(),IF($C$313&gt;=0,NA(),SUM($D$312,$Q$313))))</f>
        <v>#REF!</v>
      </c>
      <c r="O313" s="47" t="e">
        <f>$C$313</f>
        <v>#REF!</v>
      </c>
      <c r="P313" s="47" t="e">
        <f>$C$313</f>
        <v>#REF!</v>
      </c>
      <c r="Q313" s="47">
        <f>SUMIF($Z$313:$Z$313,"&lt;0")</f>
        <v>0</v>
      </c>
      <c r="R313" s="47">
        <f>SUMIF($Z$313:$Z$313,"&gt;0")</f>
        <v>0</v>
      </c>
      <c r="S313" s="47" t="e">
        <f>IF($B$309,IF($I$313="nca",IF($C$313&gt;=0,0,ABS($C$313)),IF($I$313="ncb",0,IF($I$313="atb",IF($C$313&gt;=0,0,IF($D$312&lt;0,0,IF(ABS($C$313)&gt;$D$312,$D$312,ABS($C$313)))),IF($I$313="bta",0,"err")))),)</f>
        <v>#REF!</v>
      </c>
      <c r="T313" s="47" t="e">
        <f>IF($B$309,IF($I$313="nca",IF($C$313&lt;0,0,ABS($C$313)),IF($I$313="ncb",0,IF($I$313="atb",IF($C$313&lt;=0,0,$C$313),IF($I$313="bta",IF($C$313&lt;=0,0,$V$313+$C$313),"err")))),)</f>
        <v>#REF!</v>
      </c>
      <c r="U313" s="47" t="e">
        <f>IF($B$309,IF($I$313="nca",0,IF($I$313="ncb",IF($C$313&lt;=0,-ABS($C$313),0),IF($I$313="atb",IF($C$313&lt;0,$C$313+$S$313,0),IF($I$313="bta",IF($C$313&lt;=0,$C$313,0),"err")))),)</f>
        <v>#REF!</v>
      </c>
      <c r="V313" s="47" t="e">
        <f>IF($B$309,IF($I$313="nca",0,IF($I$313="ncb",IF($C$313&gt;=0,-ABS($C$313),0),IF($I$313="atb",0,IF($I$313="bta",IF($C$313&lt;=0,0,IF($D$312&gt;0,0,IF(ABS($C$313)&lt;ABS($D$312),-ABS($C$313),$D$312))),"err")))),)</f>
        <v>#REF!</v>
      </c>
      <c r="W313" s="47" t="e">
        <f>IF($C$313&gt;=0,IF($B$309,IF($C$313=0,NA(),$D$313),NA()),NA())</f>
        <v>#REF!</v>
      </c>
      <c r="X313" s="47" t="e">
        <f>IF($C$313&lt;0,IF($B$309,IF($C$313=0,NA(),$D$313),NA()),NA())</f>
        <v>#REF!</v>
      </c>
      <c r="Y313" s="47" t="e">
        <f>IF(IF($B$309,$C$310 = 0,COUNTIF(#REF!, "= 0")+ COUNTBLANK(#REF!) = 1),$Y$312,NA())</f>
        <v>#REF!</v>
      </c>
      <c r="Z313" s="47" t="e">
        <f>#REF!</f>
        <v>#REF!</v>
      </c>
      <c r="AA313" s="47">
        <v>0</v>
      </c>
      <c r="AB313" s="47">
        <v>0</v>
      </c>
      <c r="AC313" s="47">
        <f>IF($B$309,,IF($I$313="nca",IF($Z$313&gt;=0,0,ABS($Z$313)),IF($I$313="ncb",0,IF($I$313="atb",IF($Z$313&gt;=0,0,IF($D$312-$AA$313&lt;0,0,IF(ABS($Z$313)&gt;$D$312-$AA$313,$D$312-$AA$313,ABS($Z$313)))),IF($I$313="bta",0,"err")))))</f>
        <v>0</v>
      </c>
      <c r="AD313" s="47">
        <f>IF($B$309,,IF($I$313="nca",0,IF($I$313="ncb",IF($Z$313&gt;=0,-ABS($Z$313),0),IF($I$313="atb",0,IF($I$313="bta",IF($Z$313&lt;=0,0,IF($D$312+$AB$313&gt;0,0,IF(ABS($Z$313)&lt;ABS($D$312+$AB$313),-ABS($Z$313),$D$312+$AB$313))),"err")))))</f>
        <v>0</v>
      </c>
      <c r="AE313" s="47">
        <f>IF($B$309,,IF($I$313="nca",0,IF($I$313="ncb",IF($Z$313&lt;=0,-ABS($Z$313),0),IF($I$313="atb",IF($Z$313&lt;0,$Z$313+$AC$313,0),IF($I$313="bta",IF($Z$313&lt;=0,$Z$313,0),"err")))))</f>
        <v>0</v>
      </c>
      <c r="AF313" s="47">
        <f>IF($B$309,,IF($I$313="nca",IF($Z$313&lt;0,0,ABS($Z$313)),IF($I$313="ncb",0,IF($I$313="atb",IF($Z$313&lt;=0,0,$Z$313),IF($I$313="bta",IF($Z$313&lt;=0,0,$AD$313+$Z$313),"err")))))</f>
        <v>0</v>
      </c>
      <c r="AG313" s="47" t="b">
        <f>IF(SUM(COUNTIFS($AF$313,"&lt;&gt;0",$AF$313,"&lt;&gt;"),COUNTIFS($AC$313,"&lt;&gt;0",$AC$313,"&lt;&gt;"),COUNTIFS($AD$313,"&lt;&gt;0",$AD$313,"&lt;&gt;"),COUNTIFS($AE$313,"&lt;&gt;0",$AE$313,"&lt;&gt;"))=2,TRUE,FALSE)</f>
        <v>0</v>
      </c>
      <c r="AH313" s="47" t="e">
        <f>IF($B$309,NA(),IF($Z$313=0,NA(),IF($AG$313,SUM($AC$313,$AF$313,$AD$313,$AE$313)/2,IF(OR($AF$313&lt;&gt;0,$AD$313&lt;&gt;0),$D$312+$AB$313,$D$312-$AA$313)+$Z$313/2)))</f>
        <v>#N/A</v>
      </c>
    </row>
    <row r="314" spans="1:34">
      <c r="A314" s="47"/>
      <c r="B314" s="47"/>
      <c r="C314" s="47" t="e">
        <f>#REF!</f>
        <v>#REF!</v>
      </c>
      <c r="D314" s="47" t="e">
        <f>SUM($D$313,$C$314)</f>
        <v>#REF!</v>
      </c>
      <c r="E314" s="47" t="e">
        <f>$D$313&gt;=0</f>
        <v>#REF!</v>
      </c>
      <c r="F314" s="47" t="e">
        <f>IF($B$309,AND($D$313&lt;=0,SUM($D$313,$C$314)&gt; 0),AND($D$313&lt;=0,SUM($D$313,$R$314)&gt; 0))</f>
        <v>#REF!</v>
      </c>
      <c r="G314" s="47" t="e">
        <f>IF($B$309,AND($D$313&gt;=0,SUM($D$313,$C$314)&lt; 0),AND($D$313&gt;=0,SUM($D$313,$Q$314)&lt; 0))</f>
        <v>#REF!</v>
      </c>
      <c r="H314" s="47" t="e">
        <f>OR($G$314,$F$314)</f>
        <v>#REF!</v>
      </c>
      <c r="I314" s="47" t="e">
        <f>IF($H$314,IF($G$314,"atb","bta"),IF($E$314,"nca","ncb"))</f>
        <v>#REF!</v>
      </c>
      <c r="J314" s="47" t="e">
        <f>IF($H$314,0,IF($B$309,IF($E$314,IF($C$314&gt;=0,$D$313,$D$313+$C$314),IF($C$314&gt;=0,$D$313+$C$314,$D$313)),IF($E$314,SUM($D$313,$Q$314),SUM($D$313,$R$314))))</f>
        <v>#REF!</v>
      </c>
      <c r="K314" s="47"/>
      <c r="L314" s="47"/>
      <c r="M314" s="47" t="e">
        <f>IF(COUNTIF(#REF!, "= 0")+ COUNTBLANK(#REF!) = 1,NA(),IF($B$309,NA(),IF($C$314&gt;=0,SUM($D$313,$R$314),NA())))</f>
        <v>#REF!</v>
      </c>
      <c r="N314" s="47" t="e">
        <f>IF(COUNTIF(#REF!, "= 0")+ COUNTBLANK(#REF!) = 1,NA(),IF($B$309,NA(),IF($C$314&gt;=0,NA(),SUM($D$313,$Q$314))))</f>
        <v>#REF!</v>
      </c>
      <c r="O314" s="47" t="e">
        <f>$C$314</f>
        <v>#REF!</v>
      </c>
      <c r="P314" s="47" t="e">
        <f>$C$314</f>
        <v>#REF!</v>
      </c>
      <c r="Q314" s="47">
        <f>SUMIF($Z$314:$Z$314,"&lt;0")</f>
        <v>0</v>
      </c>
      <c r="R314" s="47">
        <f>SUMIF($Z$314:$Z$314,"&gt;0")</f>
        <v>0</v>
      </c>
      <c r="S314" s="47" t="e">
        <f>IF($B$309,IF($I$314="nca",IF($C$314&gt;=0,0,ABS($C$314)),IF($I$314="ncb",0,IF($I$314="atb",IF($C$314&gt;=0,0,IF($D$313&lt;0,0,IF(ABS($C$314)&gt;$D$313,$D$313,ABS($C$314)))),IF($I$314="bta",0,"err")))),)</f>
        <v>#REF!</v>
      </c>
      <c r="T314" s="47" t="e">
        <f>IF($B$309,IF($I$314="nca",IF($C$314&lt;0,0,ABS($C$314)),IF($I$314="ncb",0,IF($I$314="atb",IF($C$314&lt;=0,0,$C$314),IF($I$314="bta",IF($C$314&lt;=0,0,$V$314+$C$314),"err")))),)</f>
        <v>#REF!</v>
      </c>
      <c r="U314" s="47" t="e">
        <f>IF($B$309,IF($I$314="nca",0,IF($I$314="ncb",IF($C$314&lt;=0,-ABS($C$314),0),IF($I$314="atb",IF($C$314&lt;0,$C$314+$S$314,0),IF($I$314="bta",IF($C$314&lt;=0,$C$314,0),"err")))),)</f>
        <v>#REF!</v>
      </c>
      <c r="V314" s="47" t="e">
        <f>IF($B$309,IF($I$314="nca",0,IF($I$314="ncb",IF($C$314&gt;=0,-ABS($C$314),0),IF($I$314="atb",0,IF($I$314="bta",IF($C$314&lt;=0,0,IF($D$313&gt;0,0,IF(ABS($C$314)&lt;ABS($D$313),-ABS($C$314),$D$313))),"err")))),)</f>
        <v>#REF!</v>
      </c>
      <c r="W314" s="47" t="e">
        <f>IF($C$314&gt;=0,IF($B$309,IF($C$314=0,NA(),$D$314),NA()),NA())</f>
        <v>#REF!</v>
      </c>
      <c r="X314" s="47" t="e">
        <f>IF($C$314&lt;0,IF($B$309,IF($C$314=0,NA(),$D$314),NA()),NA())</f>
        <v>#REF!</v>
      </c>
      <c r="Y314" s="47" t="e">
        <f>$D$310</f>
        <v>#REF!</v>
      </c>
      <c r="Z314" s="47" t="e">
        <f>#REF!</f>
        <v>#REF!</v>
      </c>
      <c r="AA314" s="47">
        <v>0</v>
      </c>
      <c r="AB314" s="47">
        <v>0</v>
      </c>
      <c r="AC314" s="47">
        <f>IF($B$309,,IF($I$314="nca",IF($Z$314&gt;=0,0,ABS($Z$314)),IF($I$314="ncb",0,IF($I$314="atb",IF($Z$314&gt;=0,0,IF($D$313-$AA$314&lt;0,0,IF(ABS($Z$314)&gt;$D$313-$AA$314,$D$313-$AA$314,ABS($Z$314)))),IF($I$314="bta",0,"err")))))</f>
        <v>0</v>
      </c>
      <c r="AD314" s="47">
        <f>IF($B$309,,IF($I$314="nca",0,IF($I$314="ncb",IF($Z$314&gt;=0,-ABS($Z$314),0),IF($I$314="atb",0,IF($I$314="bta",IF($Z$314&lt;=0,0,IF($D$313+$AB$314&gt;0,0,IF(ABS($Z$314)&lt;ABS($D$313+$AB$314),-ABS($Z$314),$D$313+$AB$314))),"err")))))</f>
        <v>0</v>
      </c>
      <c r="AE314" s="47">
        <f>IF($B$309,,IF($I$314="nca",0,IF($I$314="ncb",IF($Z$314&lt;=0,-ABS($Z$314),0),IF($I$314="atb",IF($Z$314&lt;0,$Z$314+$AC$314,0),IF($I$314="bta",IF($Z$314&lt;=0,$Z$314,0),"err")))))</f>
        <v>0</v>
      </c>
      <c r="AF314" s="47">
        <f>IF($B$309,,IF($I$314="nca",IF($Z$314&lt;0,0,ABS($Z$314)),IF($I$314="ncb",0,IF($I$314="atb",IF($Z$314&lt;=0,0,$Z$314),IF($I$314="bta",IF($Z$314&lt;=0,0,$AD$314+$Z$314),"err")))))</f>
        <v>0</v>
      </c>
      <c r="AG314" s="47" t="b">
        <f>IF(SUM(COUNTIFS($AF$314,"&lt;&gt;0",$AF$314,"&lt;&gt;"),COUNTIFS($AC$314,"&lt;&gt;0",$AC$314,"&lt;&gt;"),COUNTIFS($AD$314,"&lt;&gt;0",$AD$314,"&lt;&gt;"),COUNTIFS($AE$314,"&lt;&gt;0",$AE$314,"&lt;&gt;"))=2,TRUE,FALSE)</f>
        <v>0</v>
      </c>
      <c r="AH314" s="47" t="e">
        <f>IF($B$309,NA(),IF($Z$314=0,NA(),IF($AG$314,SUM($AC$314,$AF$314,$AD$314,$AE$314)/2,IF(OR($AF$314&lt;&gt;0,$AD$314&lt;&gt;0),$D$313+$AB$314,$D$313-$AA$314)+$Z$314/2)))</f>
        <v>#N/A</v>
      </c>
    </row>
    <row r="315" spans="1:34">
      <c r="A315" s="47"/>
      <c r="B315" s="47"/>
      <c r="C315" s="47" t="e">
        <f>#REF!</f>
        <v>#REF!</v>
      </c>
      <c r="D315" s="47" t="e">
        <f>SUM($D$314,$C$315)</f>
        <v>#REF!</v>
      </c>
      <c r="E315" s="47" t="e">
        <f>$D$314&gt;=0</f>
        <v>#REF!</v>
      </c>
      <c r="F315" s="47" t="e">
        <f>IF($B$309,AND($D$314&lt;=0,SUM($D$314,$C$315)&gt; 0),AND($D$314&lt;=0,SUM($D$314,$R$315)&gt; 0))</f>
        <v>#REF!</v>
      </c>
      <c r="G315" s="47" t="e">
        <f>IF($B$309,AND($D$314&gt;=0,SUM($D$314,$C$315)&lt; 0),AND($D$314&gt;=0,SUM($D$314,$Q$315)&lt; 0))</f>
        <v>#REF!</v>
      </c>
      <c r="H315" s="47" t="e">
        <f>OR($G$315,$F$315)</f>
        <v>#REF!</v>
      </c>
      <c r="I315" s="47" t="e">
        <f>IF($H$315,IF($G$315,"atb","bta"),IF($E$315,"nca","ncb"))</f>
        <v>#REF!</v>
      </c>
      <c r="J315" s="47" t="e">
        <f>IF($H$315,0,IF($B$309,IF($E$315,IF($C$315&gt;=0,$D$314,$D$314+$C$315),IF($C$315&gt;=0,$D$314+$C$315,$D$314)),IF($E$315,SUM($D$314,$Q$315),SUM($D$314,$R$315))))</f>
        <v>#REF!</v>
      </c>
      <c r="K315" s="47"/>
      <c r="L315" s="47"/>
      <c r="M315" s="47" t="e">
        <f>IF(COUNTIF(#REF!, "= 0")+ COUNTBLANK(#REF!) = 1,NA(),IF($B$309,NA(),IF($C$315&gt;=0,SUM($D$314,$R$315),NA())))</f>
        <v>#REF!</v>
      </c>
      <c r="N315" s="47" t="e">
        <f>IF(COUNTIF(#REF!, "= 0")+ COUNTBLANK(#REF!) = 1,NA(),IF($B$309,NA(),IF($C$315&gt;=0,NA(),SUM($D$314,$Q$315))))</f>
        <v>#REF!</v>
      </c>
      <c r="O315" s="47" t="e">
        <f>$C$315</f>
        <v>#REF!</v>
      </c>
      <c r="P315" s="47" t="e">
        <f>$C$315</f>
        <v>#REF!</v>
      </c>
      <c r="Q315" s="47">
        <f>SUMIF($Z$315:$Z$315,"&lt;0")</f>
        <v>0</v>
      </c>
      <c r="R315" s="47">
        <f>SUMIF($Z$315:$Z$315,"&gt;0")</f>
        <v>0</v>
      </c>
      <c r="S315" s="47" t="e">
        <f>IF($B$309,IF($I$315="nca",IF($C$315&gt;=0,0,ABS($C$315)),IF($I$315="ncb",0,IF($I$315="atb",IF($C$315&gt;=0,0,IF($D$314&lt;0,0,IF(ABS($C$315)&gt;$D$314,$D$314,ABS($C$315)))),IF($I$315="bta",0,"err")))),)</f>
        <v>#REF!</v>
      </c>
      <c r="T315" s="47" t="e">
        <f>IF($B$309,IF($I$315="nca",IF($C$315&lt;0,0,ABS($C$315)),IF($I$315="ncb",0,IF($I$315="atb",IF($C$315&lt;=0,0,$C$315),IF($I$315="bta",IF($C$315&lt;=0,0,$V$315+$C$315),"err")))),)</f>
        <v>#REF!</v>
      </c>
      <c r="U315" s="47" t="e">
        <f>IF($B$309,IF($I$315="nca",0,IF($I$315="ncb",IF($C$315&lt;=0,-ABS($C$315),0),IF($I$315="atb",IF($C$315&lt;0,$C$315+$S$315,0),IF($I$315="bta",IF($C$315&lt;=0,$C$315,0),"err")))),)</f>
        <v>#REF!</v>
      </c>
      <c r="V315" s="47" t="e">
        <f>IF($B$309,IF($I$315="nca",0,IF($I$315="ncb",IF($C$315&gt;=0,-ABS($C$315),0),IF($I$315="atb",0,IF($I$315="bta",IF($C$315&lt;=0,0,IF($D$314&gt;0,0,IF(ABS($C$315)&lt;ABS($D$314),-ABS($C$315),$D$314))),"err")))),)</f>
        <v>#REF!</v>
      </c>
      <c r="W315" s="47" t="e">
        <f>IF($C$315&gt;=0,IF($B$309,IF($C$315=0,NA(),$D$315),NA()),NA())</f>
        <v>#REF!</v>
      </c>
      <c r="X315" s="47" t="e">
        <f>IF($C$315&lt;0,IF($B$309,IF($C$315=0,NA(),$D$315),NA()),NA())</f>
        <v>#REF!</v>
      </c>
      <c r="Y315" s="47" t="e">
        <f>$D$310</f>
        <v>#REF!</v>
      </c>
      <c r="Z315" s="47" t="e">
        <f>#REF!</f>
        <v>#REF!</v>
      </c>
      <c r="AA315" s="47">
        <v>0</v>
      </c>
      <c r="AB315" s="47">
        <v>0</v>
      </c>
      <c r="AC315" s="47">
        <f>IF($B$309,,IF($I$315="nca",IF($Z$315&gt;=0,0,ABS($Z$315)),IF($I$315="ncb",0,IF($I$315="atb",IF($Z$315&gt;=0,0,IF($D$314-$AA$315&lt;0,0,IF(ABS($Z$315)&gt;$D$314-$AA$315,$D$314-$AA$315,ABS($Z$315)))),IF($I$315="bta",0,"err")))))</f>
        <v>0</v>
      </c>
      <c r="AD315" s="47">
        <f>IF($B$309,,IF($I$315="nca",0,IF($I$315="ncb",IF($Z$315&gt;=0,-ABS($Z$315),0),IF($I$315="atb",0,IF($I$315="bta",IF($Z$315&lt;=0,0,IF($D$314+$AB$315&gt;0,0,IF(ABS($Z$315)&lt;ABS($D$314+$AB$315),-ABS($Z$315),$D$314+$AB$315))),"err")))))</f>
        <v>0</v>
      </c>
      <c r="AE315" s="47">
        <f>IF($B$309,,IF($I$315="nca",0,IF($I$315="ncb",IF($Z$315&lt;=0,-ABS($Z$315),0),IF($I$315="atb",IF($Z$315&lt;0,$Z$315+$AC$315,0),IF($I$315="bta",IF($Z$315&lt;=0,$Z$315,0),"err")))))</f>
        <v>0</v>
      </c>
      <c r="AF315" s="47">
        <f>IF($B$309,,IF($I$315="nca",IF($Z$315&lt;0,0,ABS($Z$315)),IF($I$315="ncb",0,IF($I$315="atb",IF($Z$315&lt;=0,0,$Z$315),IF($I$315="bta",IF($Z$315&lt;=0,0,$AD$315+$Z$315),"err")))))</f>
        <v>0</v>
      </c>
      <c r="AG315" s="47" t="b">
        <f>IF(SUM(COUNTIFS($AF$315,"&lt;&gt;0",$AF$315,"&lt;&gt;"),COUNTIFS($AC$315,"&lt;&gt;0",$AC$315,"&lt;&gt;"),COUNTIFS($AD$315,"&lt;&gt;0",$AD$315,"&lt;&gt;"),COUNTIFS($AE$315,"&lt;&gt;0",$AE$315,"&lt;&gt;"))=2,TRUE,FALSE)</f>
        <v>0</v>
      </c>
      <c r="AH315" s="47" t="e">
        <f>IF($B$309,NA(),IF($Z$315=0,NA(),IF($AG$315,SUM($AC$315,$AF$315,$AD$315,$AE$315)/2,IF(OR($AF$315&lt;&gt;0,$AD$315&lt;&gt;0),$D$314+$AB$315,$D$314-$AA$315)+$Z$315/2)))</f>
        <v>#N/A</v>
      </c>
    </row>
    <row r="316" spans="1:34">
      <c r="A316" s="47"/>
      <c r="B316" s="47"/>
      <c r="C316" s="47" t="e">
        <f>#REF!</f>
        <v>#REF!</v>
      </c>
      <c r="D316" s="47" t="e">
        <f>SUM($D$315,$C$316)</f>
        <v>#REF!</v>
      </c>
      <c r="E316" s="47" t="e">
        <f>$D$315&gt;=0</f>
        <v>#REF!</v>
      </c>
      <c r="F316" s="47" t="e">
        <f>IF($B$309,AND($D$315&lt;=0,SUM($D$315,$C$316)&gt; 0),AND($D$315&lt;=0,SUM($D$315,$R$316)&gt; 0))</f>
        <v>#REF!</v>
      </c>
      <c r="G316" s="47" t="e">
        <f>IF($B$309,AND($D$315&gt;=0,SUM($D$315,$C$316)&lt; 0),AND($D$315&gt;=0,SUM($D$315,$Q$316)&lt; 0))</f>
        <v>#REF!</v>
      </c>
      <c r="H316" s="47" t="e">
        <f>OR($G$316,$F$316)</f>
        <v>#REF!</v>
      </c>
      <c r="I316" s="47" t="e">
        <f>IF($H$316,IF($G$316,"atb","bta"),IF($E$316,"nca","ncb"))</f>
        <v>#REF!</v>
      </c>
      <c r="J316" s="47" t="e">
        <f>IF($H$316,0,IF($B$309,IF($E$316,IF($C$316&gt;=0,$D$315,$D$315+$C$316),IF($C$316&gt;=0,$D$315+$C$316,$D$315)),IF($E$316,SUM($D$315,$Q$316),SUM($D$315,$R$316))))</f>
        <v>#REF!</v>
      </c>
      <c r="K316" s="47"/>
      <c r="L316" s="47"/>
      <c r="M316" s="47" t="e">
        <f>IF(COUNTIF(#REF!, "= 0")+ COUNTBLANK(#REF!) = 1,NA(),IF($B$309,NA(),IF($C$316&gt;=0,SUM($D$315,$R$316),NA())))</f>
        <v>#REF!</v>
      </c>
      <c r="N316" s="47" t="e">
        <f>IF(COUNTIF(#REF!, "= 0")+ COUNTBLANK(#REF!) = 1,NA(),IF($B$309,NA(),IF($C$316&gt;=0,NA(),SUM($D$315,$Q$316))))</f>
        <v>#REF!</v>
      </c>
      <c r="O316" s="47" t="e">
        <f>$C$316</f>
        <v>#REF!</v>
      </c>
      <c r="P316" s="47" t="e">
        <f>$C$316</f>
        <v>#REF!</v>
      </c>
      <c r="Q316" s="47">
        <f>SUMIF($Z$316:$Z$316,"&lt;0")</f>
        <v>0</v>
      </c>
      <c r="R316" s="47">
        <f>SUMIF($Z$316:$Z$316,"&gt;0")</f>
        <v>0</v>
      </c>
      <c r="S316" s="47" t="e">
        <f>IF($B$309,IF($I$316="nca",IF($C$316&gt;=0,0,ABS($C$316)),IF($I$316="ncb",0,IF($I$316="atb",IF($C$316&gt;=0,0,IF($D$315&lt;0,0,IF(ABS($C$316)&gt;$D$315,$D$315,ABS($C$316)))),IF($I$316="bta",0,"err")))),)</f>
        <v>#REF!</v>
      </c>
      <c r="T316" s="47" t="e">
        <f>IF($B$309,IF($I$316="nca",IF($C$316&lt;0,0,ABS($C$316)),IF($I$316="ncb",0,IF($I$316="atb",IF($C$316&lt;=0,0,$C$316),IF($I$316="bta",IF($C$316&lt;=0,0,$V$316+$C$316),"err")))),)</f>
        <v>#REF!</v>
      </c>
      <c r="U316" s="47" t="e">
        <f>IF($B$309,IF($I$316="nca",0,IF($I$316="ncb",IF($C$316&lt;=0,-ABS($C$316),0),IF($I$316="atb",IF($C$316&lt;0,$C$316+$S$316,0),IF($I$316="bta",IF($C$316&lt;=0,$C$316,0),"err")))),)</f>
        <v>#REF!</v>
      </c>
      <c r="V316" s="47" t="e">
        <f>IF($B$309,IF($I$316="nca",0,IF($I$316="ncb",IF($C$316&gt;=0,-ABS($C$316),0),IF($I$316="atb",0,IF($I$316="bta",IF($C$316&lt;=0,0,IF($D$315&gt;0,0,IF(ABS($C$316)&lt;ABS($D$315),-ABS($C$316),$D$315))),"err")))),)</f>
        <v>#REF!</v>
      </c>
      <c r="W316" s="47" t="e">
        <f>IF($C$316&gt;=0,IF($B$309,IF($C$316=0,NA(),$D$316),NA()),NA())</f>
        <v>#REF!</v>
      </c>
      <c r="X316" s="47" t="e">
        <f>IF($C$316&lt;0,IF($B$309,IF($C$316=0,NA(),$D$316),NA()),NA())</f>
        <v>#REF!</v>
      </c>
      <c r="Y316" s="47" t="e">
        <f>IF(IF($B$309,$C$311 = 0,COUNTIF(#REF!, "= 0")+ COUNTBLANK(#REF!) = 1),$Y$315,NA())</f>
        <v>#REF!</v>
      </c>
      <c r="Z316" s="47" t="e">
        <f>#REF!</f>
        <v>#REF!</v>
      </c>
      <c r="AA316" s="47">
        <v>0</v>
      </c>
      <c r="AB316" s="47">
        <v>0</v>
      </c>
      <c r="AC316" s="47">
        <f>IF($B$309,,IF($I$316="nca",IF($Z$316&gt;=0,0,ABS($Z$316)),IF($I$316="ncb",0,IF($I$316="atb",IF($Z$316&gt;=0,0,IF($D$315-$AA$316&lt;0,0,IF(ABS($Z$316)&gt;$D$315-$AA$316,$D$315-$AA$316,ABS($Z$316)))),IF($I$316="bta",0,"err")))))</f>
        <v>0</v>
      </c>
      <c r="AD316" s="47">
        <f>IF($B$309,,IF($I$316="nca",0,IF($I$316="ncb",IF($Z$316&gt;=0,-ABS($Z$316),0),IF($I$316="atb",0,IF($I$316="bta",IF($Z$316&lt;=0,0,IF($D$315+$AB$316&gt;0,0,IF(ABS($Z$316)&lt;ABS($D$315+$AB$316),-ABS($Z$316),$D$315+$AB$316))),"err")))))</f>
        <v>0</v>
      </c>
      <c r="AE316" s="47">
        <f>IF($B$309,,IF($I$316="nca",0,IF($I$316="ncb",IF($Z$316&lt;=0,-ABS($Z$316),0),IF($I$316="atb",IF($Z$316&lt;0,$Z$316+$AC$316,0),IF($I$316="bta",IF($Z$316&lt;=0,$Z$316,0),"err")))))</f>
        <v>0</v>
      </c>
      <c r="AF316" s="47">
        <f>IF($B$309,,IF($I$316="nca",IF($Z$316&lt;0,0,ABS($Z$316)),IF($I$316="ncb",0,IF($I$316="atb",IF($Z$316&lt;=0,0,$Z$316),IF($I$316="bta",IF($Z$316&lt;=0,0,$AD$316+$Z$316),"err")))))</f>
        <v>0</v>
      </c>
      <c r="AG316" s="47" t="b">
        <f>IF(SUM(COUNTIFS($AF$316,"&lt;&gt;0",$AF$316,"&lt;&gt;"),COUNTIFS($AC$316,"&lt;&gt;0",$AC$316,"&lt;&gt;"),COUNTIFS($AD$316,"&lt;&gt;0",$AD$316,"&lt;&gt;"),COUNTIFS($AE$316,"&lt;&gt;0",$AE$316,"&lt;&gt;"))=2,TRUE,FALSE)</f>
        <v>0</v>
      </c>
      <c r="AH316" s="47" t="e">
        <f>IF($B$309,NA(),IF($Z$316=0,NA(),IF($AG$316,SUM($AC$316,$AF$316,$AD$316,$AE$316)/2,IF(OR($AF$316&lt;&gt;0,$AD$316&lt;&gt;0),$D$315+$AB$316,$D$315-$AA$316)+$Z$316/2)))</f>
        <v>#N/A</v>
      </c>
    </row>
    <row r="317" spans="1:34">
      <c r="A317" s="47"/>
      <c r="B317" s="47"/>
      <c r="C317" s="47" t="e">
        <f>#REF!</f>
        <v>#REF!</v>
      </c>
      <c r="D317" s="47" t="e">
        <f>$C$317</f>
        <v>#REF!</v>
      </c>
      <c r="E317" s="47"/>
      <c r="F317" s="47"/>
      <c r="G317" s="47"/>
      <c r="H317" s="47"/>
      <c r="I317" s="47"/>
      <c r="J317" s="47"/>
      <c r="K317" s="47" t="e">
        <f>IF(COUNTIF(#REF!, "= 0")+ COUNTBLANK(#REF!) = 1,NA(),IF($B$308,$D$317,NA()))</f>
        <v>#REF!</v>
      </c>
      <c r="L317" s="47" t="e">
        <f>$D$317</f>
        <v>#REF!</v>
      </c>
      <c r="M317" s="47" t="e">
        <f>IF(COUNTIF(#REF!, "= 0")+ COUNTBLANK(#REF!) = 1,NA(),IF($B$308,NA(),IF($C$317&gt;= 0,$R$317,NA())))</f>
        <v>#REF!</v>
      </c>
      <c r="N317" s="47" t="e">
        <f>IF(COUNTIF(#REF!, "= 0")+ COUNTBLANK(#REF!) = 1,NA(),IF($B$308,NA(),IF($C$317&lt;= 0,$Q$317,NA())))</f>
        <v>#REF!</v>
      </c>
      <c r="O317" s="47" t="e">
        <f>$C$317</f>
        <v>#REF!</v>
      </c>
      <c r="P317" s="47" t="e">
        <f>$C$317</f>
        <v>#REF!</v>
      </c>
      <c r="Q317" s="47">
        <f>SUMIF($Z$317:$Z$317,"&lt;0")</f>
        <v>0</v>
      </c>
      <c r="R317" s="47">
        <f>SUMIF($Z$317:$Z$317,"&gt;0")</f>
        <v>0</v>
      </c>
      <c r="S317" s="47"/>
      <c r="T317" s="47"/>
      <c r="U317" s="47"/>
      <c r="V317" s="47"/>
      <c r="W317" s="47"/>
      <c r="X317" s="47"/>
      <c r="Y317" s="47" t="e">
        <f>$D$311</f>
        <v>#REF!</v>
      </c>
      <c r="Z317" s="47" t="e">
        <f>#REF!</f>
        <v>#REF!</v>
      </c>
      <c r="AA317" s="47">
        <v>0</v>
      </c>
      <c r="AB317" s="47">
        <v>0</v>
      </c>
      <c r="AC317" s="47"/>
      <c r="AD317" s="47"/>
      <c r="AE317" s="47">
        <f>IF($B$308,,IF($Z$317 &lt; 0,$Z$317,))</f>
        <v>0</v>
      </c>
      <c r="AF317" s="47">
        <f>IF($B$308,,IF($Z$317 &gt; 0,$Z$317,))</f>
        <v>0</v>
      </c>
      <c r="AG317" s="47"/>
      <c r="AH317" s="47" t="e">
        <f>IF($B$308,NA(),IF($Z$317 = 0,NA(),IF($Z$317 &gt; 0,$AB$317 + $Z$317/2,-$AA$317 + $Z$317/2)))</f>
        <v>#N/A</v>
      </c>
    </row>
    <row r="318" spans="1:34">
      <c r="A318" s="47"/>
      <c r="B318" s="47"/>
      <c r="C318" s="47" t="e">
        <f>#REF!</f>
        <v>#REF!</v>
      </c>
      <c r="D318" s="47" t="e">
        <f>SUM($D$317,$C$318)</f>
        <v>#REF!</v>
      </c>
      <c r="E318" s="47" t="e">
        <f>$D$317&gt;=0</f>
        <v>#REF!</v>
      </c>
      <c r="F318" s="47" t="e">
        <f>IF($B$309,AND($D$317&lt;=0,SUM($D$317,$C$318)&gt; 0),AND($D$317&lt;=0,SUM($D$317,$R$318)&gt; 0))</f>
        <v>#REF!</v>
      </c>
      <c r="G318" s="47" t="e">
        <f>IF($B$309,AND($D$317&gt;=0,SUM($D$317,$C$318)&lt; 0),AND($D$317&gt;=0,SUM($D$317,$Q$318)&lt; 0))</f>
        <v>#REF!</v>
      </c>
      <c r="H318" s="47" t="e">
        <f>OR($G$318,$F$318)</f>
        <v>#REF!</v>
      </c>
      <c r="I318" s="47" t="e">
        <f>IF($H$318,IF($G$318,"atb","bta"),IF($E$318,"nca","ncb"))</f>
        <v>#REF!</v>
      </c>
      <c r="J318" s="47" t="e">
        <f>IF($H$318,0,IF($B$309,IF($E$318,IF($C$318&gt;=0,$D$317,$D$317+$C$318),IF($C$318&gt;=0,$D$317+$C$318,$D$317)),IF($E$318,SUM($D$317,$Q$318),SUM($D$317,$R$318))))</f>
        <v>#REF!</v>
      </c>
      <c r="K318" s="47"/>
      <c r="L318" s="47"/>
      <c r="M318" s="47" t="e">
        <f>IF(COUNTIF(#REF!, "= 0")+ COUNTBLANK(#REF!) = 1,NA(),IF($B$309,NA(),IF($C$318&gt;=0,SUM($D$317,$R$318),NA())))</f>
        <v>#REF!</v>
      </c>
      <c r="N318" s="47" t="e">
        <f>IF(COUNTIF(#REF!, "= 0")+ COUNTBLANK(#REF!) = 1,NA(),IF($B$309,NA(),IF($C$318&gt;=0,NA(),SUM($D$317,$Q$318))))</f>
        <v>#REF!</v>
      </c>
      <c r="O318" s="47" t="e">
        <f>$C$318</f>
        <v>#REF!</v>
      </c>
      <c r="P318" s="47" t="e">
        <f>$C$318</f>
        <v>#REF!</v>
      </c>
      <c r="Q318" s="47">
        <f>SUMIF($Z$318:$Z$318,"&lt;0")</f>
        <v>0</v>
      </c>
      <c r="R318" s="47">
        <f>SUMIF($Z$318:$Z$318,"&gt;0")</f>
        <v>0</v>
      </c>
      <c r="S318" s="47" t="e">
        <f>IF($B$309,IF($I$318="nca",IF($C$318&gt;=0,0,ABS($C$318)),IF($I$318="ncb",0,IF($I$318="atb",IF($C$318&gt;=0,0,IF($D$317&lt;0,0,IF(ABS($C$318)&gt;$D$317,$D$317,ABS($C$318)))),IF($I$318="bta",0,"err")))),)</f>
        <v>#REF!</v>
      </c>
      <c r="T318" s="47" t="e">
        <f>IF($B$309,IF($I$318="nca",IF($C$318&lt;0,0,ABS($C$318)),IF($I$318="ncb",0,IF($I$318="atb",IF($C$318&lt;=0,0,$C$318),IF($I$318="bta",IF($C$318&lt;=0,0,$V$318+$C$318),"err")))),)</f>
        <v>#REF!</v>
      </c>
      <c r="U318" s="47" t="e">
        <f>IF($B$309,IF($I$318="nca",0,IF($I$318="ncb",IF($C$318&lt;=0,-ABS($C$318),0),IF($I$318="atb",IF($C$318&lt;0,$C$318+$S$318,0),IF($I$318="bta",IF($C$318&lt;=0,$C$318,0),"err")))),)</f>
        <v>#REF!</v>
      </c>
      <c r="V318" s="47" t="e">
        <f>IF($B$309,IF($I$318="nca",0,IF($I$318="ncb",IF($C$318&gt;=0,-ABS($C$318),0),IF($I$318="atb",0,IF($I$318="bta",IF($C$318&lt;=0,0,IF($D$317&gt;0,0,IF(ABS($C$318)&lt;ABS($D$317),-ABS($C$318),$D$317))),"err")))),)</f>
        <v>#REF!</v>
      </c>
      <c r="W318" s="47" t="e">
        <f>IF($C$318&gt;=0,IF($B$309,IF($C$318=0,NA(),$D$318),NA()),NA())</f>
        <v>#REF!</v>
      </c>
      <c r="X318" s="47" t="e">
        <f>IF($C$318&lt;0,IF($B$309,IF($C$318=0,NA(),$D$318),NA()),NA())</f>
        <v>#REF!</v>
      </c>
      <c r="Y318" s="47" t="e">
        <f>$D$311</f>
        <v>#REF!</v>
      </c>
      <c r="Z318" s="47" t="e">
        <f>#REF!</f>
        <v>#REF!</v>
      </c>
      <c r="AA318" s="47">
        <v>0</v>
      </c>
      <c r="AB318" s="47">
        <v>0</v>
      </c>
      <c r="AC318" s="47">
        <f>IF($B$309,,IF($I$318="nca",IF($Z$318&gt;=0,0,ABS($Z$318)),IF($I$318="ncb",0,IF($I$318="atb",IF($Z$318&gt;=0,0,IF($D$317-$AA$318&lt;0,0,IF(ABS($Z$318)&gt;$D$317-$AA$318,$D$317-$AA$318,ABS($Z$318)))),IF($I$318="bta",0,"err")))))</f>
        <v>0</v>
      </c>
      <c r="AD318" s="47">
        <f>IF($B$309,,IF($I$318="nca",0,IF($I$318="ncb",IF($Z$318&gt;=0,-ABS($Z$318),0),IF($I$318="atb",0,IF($I$318="bta",IF($Z$318&lt;=0,0,IF($D$317+$AB$318&gt;0,0,IF(ABS($Z$318)&lt;ABS($D$317+$AB$318),-ABS($Z$318),$D$317+$AB$318))),"err")))))</f>
        <v>0</v>
      </c>
      <c r="AE318" s="47">
        <f>IF($B$309,,IF($I$318="nca",0,IF($I$318="ncb",IF($Z$318&lt;=0,-ABS($Z$318),0),IF($I$318="atb",IF($Z$318&lt;0,$Z$318+$AC$318,0),IF($I$318="bta",IF($Z$318&lt;=0,$Z$318,0),"err")))))</f>
        <v>0</v>
      </c>
      <c r="AF318" s="47">
        <f>IF($B$309,,IF($I$318="nca",IF($Z$318&lt;0,0,ABS($Z$318)),IF($I$318="ncb",0,IF($I$318="atb",IF($Z$318&lt;=0,0,$Z$318),IF($I$318="bta",IF($Z$318&lt;=0,0,$AD$318+$Z$318),"err")))))</f>
        <v>0</v>
      </c>
      <c r="AG318" s="47" t="b">
        <f>IF(SUM(COUNTIFS($AF$318,"&lt;&gt;0",$AF$318,"&lt;&gt;"),COUNTIFS($AC$318,"&lt;&gt;0",$AC$318,"&lt;&gt;"),COUNTIFS($AD$318,"&lt;&gt;0",$AD$318,"&lt;&gt;"),COUNTIFS($AE$318,"&lt;&gt;0",$AE$318,"&lt;&gt;"))=2,TRUE,FALSE)</f>
        <v>0</v>
      </c>
      <c r="AH318" s="47" t="e">
        <f>IF($B$309,NA(),IF($Z$318=0,NA(),IF($AG$318,SUM($AC$318,$AF$318,$AD$318,$AE$318)/2,IF(OR($AF$318&lt;&gt;0,$AD$318&lt;&gt;0),$D$317+$AB$318,$D$317-$AA$318)+$Z$318/2)))</f>
        <v>#N/A</v>
      </c>
    </row>
    <row r="319" spans="1:34">
      <c r="A319" s="47"/>
      <c r="B319" s="47"/>
      <c r="C319" s="47" t="e">
        <f>#REF!</f>
        <v>#REF!</v>
      </c>
      <c r="D319" s="47" t="e">
        <f>SUM($D$318,$C$319)</f>
        <v>#REF!</v>
      </c>
      <c r="E319" s="47" t="e">
        <f>$D$318&gt;=0</f>
        <v>#REF!</v>
      </c>
      <c r="F319" s="47" t="e">
        <f>IF($B$309,AND($D$318&lt;=0,SUM($D$318,$C$319)&gt; 0),AND($D$318&lt;=0,SUM($D$318,$R$319)&gt; 0))</f>
        <v>#REF!</v>
      </c>
      <c r="G319" s="47" t="e">
        <f>IF($B$309,AND($D$318&gt;=0,SUM($D$318,$C$319)&lt; 0),AND($D$318&gt;=0,SUM($D$318,$Q$319)&lt; 0))</f>
        <v>#REF!</v>
      </c>
      <c r="H319" s="47" t="e">
        <f>OR($G$319,$F$319)</f>
        <v>#REF!</v>
      </c>
      <c r="I319" s="47" t="e">
        <f>IF($H$319,IF($G$319,"atb","bta"),IF($E$319,"nca","ncb"))</f>
        <v>#REF!</v>
      </c>
      <c r="J319" s="47" t="e">
        <f>IF($H$319,0,IF($B$309,IF($E$319,IF($C$319&gt;=0,$D$318,$D$318+$C$319),IF($C$319&gt;=0,$D$318+$C$319,$D$318)),IF($E$319,SUM($D$318,$Q$319),SUM($D$318,$R$319))))</f>
        <v>#REF!</v>
      </c>
      <c r="K319" s="47"/>
      <c r="L319" s="47"/>
      <c r="M319" s="47" t="e">
        <f>IF(COUNTIF(#REF!, "= 0")+ COUNTBLANK(#REF!) = 1,NA(),IF($B$309,NA(),IF($C$319&gt;=0,SUM($D$318,$R$319),NA())))</f>
        <v>#REF!</v>
      </c>
      <c r="N319" s="47" t="e">
        <f>IF(COUNTIF(#REF!, "= 0")+ COUNTBLANK(#REF!) = 1,NA(),IF($B$309,NA(),IF($C$319&gt;=0,NA(),SUM($D$318,$Q$319))))</f>
        <v>#REF!</v>
      </c>
      <c r="O319" s="47" t="e">
        <f>$C$319</f>
        <v>#REF!</v>
      </c>
      <c r="P319" s="47" t="e">
        <f>$C$319</f>
        <v>#REF!</v>
      </c>
      <c r="Q319" s="47">
        <f>SUMIF($Z$319:$Z$319,"&lt;0")</f>
        <v>0</v>
      </c>
      <c r="R319" s="47">
        <f>SUMIF($Z$319:$Z$319,"&gt;0")</f>
        <v>0</v>
      </c>
      <c r="S319" s="47" t="e">
        <f>IF($B$309,IF($I$319="nca",IF($C$319&gt;=0,0,ABS($C$319)),IF($I$319="ncb",0,IF($I$319="atb",IF($C$319&gt;=0,0,IF($D$318&lt;0,0,IF(ABS($C$319)&gt;$D$318,$D$318,ABS($C$319)))),IF($I$319="bta",0,"err")))),)</f>
        <v>#REF!</v>
      </c>
      <c r="T319" s="47" t="e">
        <f>IF($B$309,IF($I$319="nca",IF($C$319&lt;0,0,ABS($C$319)),IF($I$319="ncb",0,IF($I$319="atb",IF($C$319&lt;=0,0,$C$319),IF($I$319="bta",IF($C$319&lt;=0,0,$V$319+$C$319),"err")))),)</f>
        <v>#REF!</v>
      </c>
      <c r="U319" s="47" t="e">
        <f>IF($B$309,IF($I$319="nca",0,IF($I$319="ncb",IF($C$319&lt;=0,-ABS($C$319),0),IF($I$319="atb",IF($C$319&lt;0,$C$319+$S$319,0),IF($I$319="bta",IF($C$319&lt;=0,$C$319,0),"err")))),)</f>
        <v>#REF!</v>
      </c>
      <c r="V319" s="47" t="e">
        <f>IF($B$309,IF($I$319="nca",0,IF($I$319="ncb",IF($C$319&gt;=0,-ABS($C$319),0),IF($I$319="atb",0,IF($I$319="bta",IF($C$319&lt;=0,0,IF($D$318&gt;0,0,IF(ABS($C$319)&lt;ABS($D$318),-ABS($C$319),$D$318))),"err")))),)</f>
        <v>#REF!</v>
      </c>
      <c r="W319" s="47" t="e">
        <f>IF($C$319&gt;=0,IF($B$309,IF($C$319=0,NA(),$D$319),NA()),NA())</f>
        <v>#REF!</v>
      </c>
      <c r="X319" s="47" t="e">
        <f>IF($C$319&lt;0,IF($B$309,IF($C$319=0,NA(),$D$319),NA()),NA())</f>
        <v>#REF!</v>
      </c>
      <c r="Y319" s="47" t="e">
        <f>IF(IF($B$309,$C$312 = 0,COUNTIF(#REF!, "= 0")+ COUNTBLANK(#REF!) = 1),$Y$318,NA())</f>
        <v>#REF!</v>
      </c>
      <c r="Z319" s="47" t="e">
        <f>#REF!</f>
        <v>#REF!</v>
      </c>
      <c r="AA319" s="47">
        <v>0</v>
      </c>
      <c r="AB319" s="47">
        <v>0</v>
      </c>
      <c r="AC319" s="47">
        <f>IF($B$309,,IF($I$319="nca",IF($Z$319&gt;=0,0,ABS($Z$319)),IF($I$319="ncb",0,IF($I$319="atb",IF($Z$319&gt;=0,0,IF($D$318-$AA$319&lt;0,0,IF(ABS($Z$319)&gt;$D$318-$AA$319,$D$318-$AA$319,ABS($Z$319)))),IF($I$319="bta",0,"err")))))</f>
        <v>0</v>
      </c>
      <c r="AD319" s="47">
        <f>IF($B$309,,IF($I$319="nca",0,IF($I$319="ncb",IF($Z$319&gt;=0,-ABS($Z$319),0),IF($I$319="atb",0,IF($I$319="bta",IF($Z$319&lt;=0,0,IF($D$318+$AB$319&gt;0,0,IF(ABS($Z$319)&lt;ABS($D$318+$AB$319),-ABS($Z$319),$D$318+$AB$319))),"err")))))</f>
        <v>0</v>
      </c>
      <c r="AE319" s="47">
        <f>IF($B$309,,IF($I$319="nca",0,IF($I$319="ncb",IF($Z$319&lt;=0,-ABS($Z$319),0),IF($I$319="atb",IF($Z$319&lt;0,$Z$319+$AC$319,0),IF($I$319="bta",IF($Z$319&lt;=0,$Z$319,0),"err")))))</f>
        <v>0</v>
      </c>
      <c r="AF319" s="47">
        <f>IF($B$309,,IF($I$319="nca",IF($Z$319&lt;0,0,ABS($Z$319)),IF($I$319="ncb",0,IF($I$319="atb",IF($Z$319&lt;=0,0,$Z$319),IF($I$319="bta",IF($Z$319&lt;=0,0,$AD$319+$Z$319),"err")))))</f>
        <v>0</v>
      </c>
      <c r="AG319" s="47" t="b">
        <f>IF(SUM(COUNTIFS($AF$319,"&lt;&gt;0",$AF$319,"&lt;&gt;"),COUNTIFS($AC$319,"&lt;&gt;0",$AC$319,"&lt;&gt;"),COUNTIFS($AD$319,"&lt;&gt;0",$AD$319,"&lt;&gt;"),COUNTIFS($AE$319,"&lt;&gt;0",$AE$319,"&lt;&gt;"))=2,TRUE,FALSE)</f>
        <v>0</v>
      </c>
      <c r="AH319" s="47" t="e">
        <f>IF($B$309,NA(),IF($Z$319=0,NA(),IF($AG$319,SUM($AC$319,$AF$319,$AD$319,$AE$319)/2,IF(OR($AF$319&lt;&gt;0,$AD$319&lt;&gt;0),$D$318+$AB$319,$D$318-$AA$319)+$Z$319/2)))</f>
        <v>#N/A</v>
      </c>
    </row>
    <row r="320" spans="1:34">
      <c r="A320" s="47"/>
      <c r="B320" s="47"/>
      <c r="C320" s="47" t="e">
        <f>#REF!</f>
        <v>#REF!</v>
      </c>
      <c r="D320" s="47" t="e">
        <f>SUM($D$319,$C$320)</f>
        <v>#REF!</v>
      </c>
      <c r="E320" s="47" t="e">
        <f>$D$319&gt;=0</f>
        <v>#REF!</v>
      </c>
      <c r="F320" s="47" t="e">
        <f>IF($B$309,AND($D$319&lt;=0,SUM($D$319,$C$320)&gt; 0),AND($D$319&lt;=0,SUM($D$319,$R$320)&gt; 0))</f>
        <v>#REF!</v>
      </c>
      <c r="G320" s="47" t="e">
        <f>IF($B$309,AND($D$319&gt;=0,SUM($D$319,$C$320)&lt; 0),AND($D$319&gt;=0,SUM($D$319,$Q$320)&lt; 0))</f>
        <v>#REF!</v>
      </c>
      <c r="H320" s="47" t="e">
        <f>OR($G$320,$F$320)</f>
        <v>#REF!</v>
      </c>
      <c r="I320" s="47" t="e">
        <f>IF($H$320,IF($G$320,"atb","bta"),IF($E$320,"nca","ncb"))</f>
        <v>#REF!</v>
      </c>
      <c r="J320" s="47" t="e">
        <f>IF($H$320,0,IF($B$309,IF($E$320,IF($C$320&gt;=0,$D$319,$D$319+$C$320),IF($C$320&gt;=0,$D$319+$C$320,$D$319)),IF($E$320,SUM($D$319,$Q$320),SUM($D$319,$R$320))))</f>
        <v>#REF!</v>
      </c>
      <c r="K320" s="47"/>
      <c r="L320" s="47"/>
      <c r="M320" s="47" t="e">
        <f>IF(COUNTIF(#REF!, "= 0")+ COUNTBLANK(#REF!) = 1,NA(),IF($B$309,NA(),IF($C$320&gt;=0,SUM($D$319,$R$320),NA())))</f>
        <v>#REF!</v>
      </c>
      <c r="N320" s="47" t="e">
        <f>IF(COUNTIF(#REF!, "= 0")+ COUNTBLANK(#REF!) = 1,NA(),IF($B$309,NA(),IF($C$320&gt;=0,NA(),SUM($D$319,$Q$320))))</f>
        <v>#REF!</v>
      </c>
      <c r="O320" s="47" t="e">
        <f>$C$320</f>
        <v>#REF!</v>
      </c>
      <c r="P320" s="47" t="e">
        <f>$C$320</f>
        <v>#REF!</v>
      </c>
      <c r="Q320" s="47">
        <f>SUMIF($Z$320:$Z$320,"&lt;0")</f>
        <v>0</v>
      </c>
      <c r="R320" s="47">
        <f>SUMIF($Z$320:$Z$320,"&gt;0")</f>
        <v>0</v>
      </c>
      <c r="S320" s="47" t="e">
        <f>IF($B$309,IF($I$320="nca",IF($C$320&gt;=0,0,ABS($C$320)),IF($I$320="ncb",0,IF($I$320="atb",IF($C$320&gt;=0,0,IF($D$319&lt;0,0,IF(ABS($C$320)&gt;$D$319,$D$319,ABS($C$320)))),IF($I$320="bta",0,"err")))),)</f>
        <v>#REF!</v>
      </c>
      <c r="T320" s="47" t="e">
        <f>IF($B$309,IF($I$320="nca",IF($C$320&lt;0,0,ABS($C$320)),IF($I$320="ncb",0,IF($I$320="atb",IF($C$320&lt;=0,0,$C$320),IF($I$320="bta",IF($C$320&lt;=0,0,$V$320+$C$320),"err")))),)</f>
        <v>#REF!</v>
      </c>
      <c r="U320" s="47" t="e">
        <f>IF($B$309,IF($I$320="nca",0,IF($I$320="ncb",IF($C$320&lt;=0,-ABS($C$320),0),IF($I$320="atb",IF($C$320&lt;0,$C$320+$S$320,0),IF($I$320="bta",IF($C$320&lt;=0,$C$320,0),"err")))),)</f>
        <v>#REF!</v>
      </c>
      <c r="V320" s="47" t="e">
        <f>IF($B$309,IF($I$320="nca",0,IF($I$320="ncb",IF($C$320&gt;=0,-ABS($C$320),0),IF($I$320="atb",0,IF($I$320="bta",IF($C$320&lt;=0,0,IF($D$319&gt;0,0,IF(ABS($C$320)&lt;ABS($D$319),-ABS($C$320),$D$319))),"err")))),)</f>
        <v>#REF!</v>
      </c>
      <c r="W320" s="47" t="e">
        <f>IF($C$320&gt;=0,IF($B$309,IF($C$320=0,NA(),$D$320),NA()),NA())</f>
        <v>#REF!</v>
      </c>
      <c r="X320" s="47" t="e">
        <f>IF($C$320&lt;0,IF($B$309,IF($C$320=0,NA(),$D$320),NA()),NA())</f>
        <v>#REF!</v>
      </c>
      <c r="Y320" s="47" t="e">
        <f>$D$312</f>
        <v>#REF!</v>
      </c>
      <c r="Z320" s="47" t="e">
        <f>#REF!</f>
        <v>#REF!</v>
      </c>
      <c r="AA320" s="47">
        <v>0</v>
      </c>
      <c r="AB320" s="47">
        <v>0</v>
      </c>
      <c r="AC320" s="47">
        <f>IF($B$309,,IF($I$320="nca",IF($Z$320&gt;=0,0,ABS($Z$320)),IF($I$320="ncb",0,IF($I$320="atb",IF($Z$320&gt;=0,0,IF($D$319-$AA$320&lt;0,0,IF(ABS($Z$320)&gt;$D$319-$AA$320,$D$319-$AA$320,ABS($Z$320)))),IF($I$320="bta",0,"err")))))</f>
        <v>0</v>
      </c>
      <c r="AD320" s="47">
        <f>IF($B$309,,IF($I$320="nca",0,IF($I$320="ncb",IF($Z$320&gt;=0,-ABS($Z$320),0),IF($I$320="atb",0,IF($I$320="bta",IF($Z$320&lt;=0,0,IF($D$319+$AB$320&gt;0,0,IF(ABS($Z$320)&lt;ABS($D$319+$AB$320),-ABS($Z$320),$D$319+$AB$320))),"err")))))</f>
        <v>0</v>
      </c>
      <c r="AE320" s="47">
        <f>IF($B$309,,IF($I$320="nca",0,IF($I$320="ncb",IF($Z$320&lt;=0,-ABS($Z$320),0),IF($I$320="atb",IF($Z$320&lt;0,$Z$320+$AC$320,0),IF($I$320="bta",IF($Z$320&lt;=0,$Z$320,0),"err")))))</f>
        <v>0</v>
      </c>
      <c r="AF320" s="47">
        <f>IF($B$309,,IF($I$320="nca",IF($Z$320&lt;0,0,ABS($Z$320)),IF($I$320="ncb",0,IF($I$320="atb",IF($Z$320&lt;=0,0,$Z$320),IF($I$320="bta",IF($Z$320&lt;=0,0,$AD$320+$Z$320),"err")))))</f>
        <v>0</v>
      </c>
      <c r="AG320" s="47" t="b">
        <f>IF(SUM(COUNTIFS($AF$320,"&lt;&gt;0",$AF$320,"&lt;&gt;"),COUNTIFS($AC$320,"&lt;&gt;0",$AC$320,"&lt;&gt;"),COUNTIFS($AD$320,"&lt;&gt;0",$AD$320,"&lt;&gt;"),COUNTIFS($AE$320,"&lt;&gt;0",$AE$320,"&lt;&gt;"))=2,TRUE,FALSE)</f>
        <v>0</v>
      </c>
      <c r="AH320" s="47" t="e">
        <f>IF($B$309,NA(),IF($Z$320=0,NA(),IF($AG$320,SUM($AC$320,$AF$320,$AD$320,$AE$320)/2,IF(OR($AF$320&lt;&gt;0,$AD$320&lt;&gt;0),$D$319+$AB$320,$D$319-$AA$320)+$Z$320/2)))</f>
        <v>#N/A</v>
      </c>
    </row>
    <row r="321" spans="1:34">
      <c r="A321" s="47"/>
      <c r="B321" s="47"/>
      <c r="C321" s="47" t="e">
        <f>#REF!</f>
        <v>#REF!</v>
      </c>
      <c r="D321" s="47" t="e">
        <f>SUM($D$320,$C$321)</f>
        <v>#REF!</v>
      </c>
      <c r="E321" s="47" t="e">
        <f>$D$320&gt;=0</f>
        <v>#REF!</v>
      </c>
      <c r="F321" s="47" t="e">
        <f>IF($B$309,AND($D$320&lt;=0,SUM($D$320,$C$321)&gt; 0),AND($D$320&lt;=0,SUM($D$320,$R$321)&gt; 0))</f>
        <v>#REF!</v>
      </c>
      <c r="G321" s="47" t="e">
        <f>IF($B$309,AND($D$320&gt;=0,SUM($D$320,$C$321)&lt; 0),AND($D$320&gt;=0,SUM($D$320,$Q$321)&lt; 0))</f>
        <v>#REF!</v>
      </c>
      <c r="H321" s="47" t="e">
        <f>OR($G$321,$F$321)</f>
        <v>#REF!</v>
      </c>
      <c r="I321" s="47" t="e">
        <f>IF($H$321,IF($G$321,"atb","bta"),IF($E$321,"nca","ncb"))</f>
        <v>#REF!</v>
      </c>
      <c r="J321" s="47" t="e">
        <f>IF($H$321,0,IF($B$309,IF($E$321,IF($C$321&gt;=0,$D$320,$D$320+$C$321),IF($C$321&gt;=0,$D$320+$C$321,$D$320)),IF($E$321,SUM($D$320,$Q$321),SUM($D$320,$R$321))))</f>
        <v>#REF!</v>
      </c>
      <c r="K321" s="47"/>
      <c r="L321" s="47"/>
      <c r="M321" s="47" t="e">
        <f>IF(COUNTIF(#REF!, "= 0")+ COUNTBLANK(#REF!) = 1,NA(),IF($B$309,NA(),IF($C$321&gt;=0,SUM($D$320,$R$321),NA())))</f>
        <v>#REF!</v>
      </c>
      <c r="N321" s="47" t="e">
        <f>IF(COUNTIF(#REF!, "= 0")+ COUNTBLANK(#REF!) = 1,NA(),IF($B$309,NA(),IF($C$321&gt;=0,NA(),SUM($D$320,$Q$321))))</f>
        <v>#REF!</v>
      </c>
      <c r="O321" s="47" t="e">
        <f>$C$321</f>
        <v>#REF!</v>
      </c>
      <c r="P321" s="47" t="e">
        <f>$C$321</f>
        <v>#REF!</v>
      </c>
      <c r="Q321" s="47">
        <f>SUMIF($Z$321:$Z$321,"&lt;0")</f>
        <v>0</v>
      </c>
      <c r="R321" s="47">
        <f>SUMIF($Z$321:$Z$321,"&gt;0")</f>
        <v>0</v>
      </c>
      <c r="S321" s="47" t="e">
        <f>IF($B$309,IF($I$321="nca",IF($C$321&gt;=0,0,ABS($C$321)),IF($I$321="ncb",0,IF($I$321="atb",IF($C$321&gt;=0,0,IF($D$320&lt;0,0,IF(ABS($C$321)&gt;$D$320,$D$320,ABS($C$321)))),IF($I$321="bta",0,"err")))),)</f>
        <v>#REF!</v>
      </c>
      <c r="T321" s="47" t="e">
        <f>IF($B$309,IF($I$321="nca",IF($C$321&lt;0,0,ABS($C$321)),IF($I$321="ncb",0,IF($I$321="atb",IF($C$321&lt;=0,0,$C$321),IF($I$321="bta",IF($C$321&lt;=0,0,$V$321+$C$321),"err")))),)</f>
        <v>#REF!</v>
      </c>
      <c r="U321" s="47" t="e">
        <f>IF($B$309,IF($I$321="nca",0,IF($I$321="ncb",IF($C$321&lt;=0,-ABS($C$321),0),IF($I$321="atb",IF($C$321&lt;0,$C$321+$S$321,0),IF($I$321="bta",IF($C$321&lt;=0,$C$321,0),"err")))),)</f>
        <v>#REF!</v>
      </c>
      <c r="V321" s="47" t="e">
        <f>IF($B$309,IF($I$321="nca",0,IF($I$321="ncb",IF($C$321&gt;=0,-ABS($C$321),0),IF($I$321="atb",0,IF($I$321="bta",IF($C$321&lt;=0,0,IF($D$320&gt;0,0,IF(ABS($C$321)&lt;ABS($D$320),-ABS($C$321),$D$320))),"err")))),)</f>
        <v>#REF!</v>
      </c>
      <c r="W321" s="47" t="e">
        <f>IF($C$321&gt;=0,IF($B$309,IF($C$321=0,NA(),$D$321),NA()),NA())</f>
        <v>#REF!</v>
      </c>
      <c r="X321" s="47" t="e">
        <f>IF($C$321&lt;0,IF($B$309,IF($C$321=0,NA(),$D$321),NA()),NA())</f>
        <v>#REF!</v>
      </c>
      <c r="Y321" s="47" t="e">
        <f>$D$312</f>
        <v>#REF!</v>
      </c>
      <c r="Z321" s="47" t="e">
        <f>#REF!</f>
        <v>#REF!</v>
      </c>
      <c r="AA321" s="47">
        <v>0</v>
      </c>
      <c r="AB321" s="47">
        <v>0</v>
      </c>
      <c r="AC321" s="47">
        <f>IF($B$309,,IF($I$321="nca",IF($Z$321&gt;=0,0,ABS($Z$321)),IF($I$321="ncb",0,IF($I$321="atb",IF($Z$321&gt;=0,0,IF($D$320-$AA$321&lt;0,0,IF(ABS($Z$321)&gt;$D$320-$AA$321,$D$320-$AA$321,ABS($Z$321)))),IF($I$321="bta",0,"err")))))</f>
        <v>0</v>
      </c>
      <c r="AD321" s="47">
        <f>IF($B$309,,IF($I$321="nca",0,IF($I$321="ncb",IF($Z$321&gt;=0,-ABS($Z$321),0),IF($I$321="atb",0,IF($I$321="bta",IF($Z$321&lt;=0,0,IF($D$320+$AB$321&gt;0,0,IF(ABS($Z$321)&lt;ABS($D$320+$AB$321),-ABS($Z$321),$D$320+$AB$321))),"err")))))</f>
        <v>0</v>
      </c>
      <c r="AE321" s="47">
        <f>IF($B$309,,IF($I$321="nca",0,IF($I$321="ncb",IF($Z$321&lt;=0,-ABS($Z$321),0),IF($I$321="atb",IF($Z$321&lt;0,$Z$321+$AC$321,0),IF($I$321="bta",IF($Z$321&lt;=0,$Z$321,0),"err")))))</f>
        <v>0</v>
      </c>
      <c r="AF321" s="47">
        <f>IF($B$309,,IF($I$321="nca",IF($Z$321&lt;0,0,ABS($Z$321)),IF($I$321="ncb",0,IF($I$321="atb",IF($Z$321&lt;=0,0,$Z$321),IF($I$321="bta",IF($Z$321&lt;=0,0,$AD$321+$Z$321),"err")))))</f>
        <v>0</v>
      </c>
      <c r="AG321" s="47" t="b">
        <f>IF(SUM(COUNTIFS($AF$321,"&lt;&gt;0",$AF$321,"&lt;&gt;"),COUNTIFS($AC$321,"&lt;&gt;0",$AC$321,"&lt;&gt;"),COUNTIFS($AD$321,"&lt;&gt;0",$AD$321,"&lt;&gt;"),COUNTIFS($AE$321,"&lt;&gt;0",$AE$321,"&lt;&gt;"))=2,TRUE,FALSE)</f>
        <v>0</v>
      </c>
      <c r="AH321" s="47" t="e">
        <f>IF($B$309,NA(),IF($Z$321=0,NA(),IF($AG$321,SUM($AC$321,$AF$321,$AD$321,$AE$321)/2,IF(OR($AF$321&lt;&gt;0,$AD$321&lt;&gt;0),$D$320+$AB$321,$D$320-$AA$321)+$Z$321/2)))</f>
        <v>#N/A</v>
      </c>
    </row>
    <row r="322" spans="1:34">
      <c r="A322" s="47"/>
      <c r="B322" s="47"/>
      <c r="C322" s="47" t="e">
        <f>#REF!</f>
        <v>#REF!</v>
      </c>
      <c r="D322" s="47" t="e">
        <f>SUM($D$321,$C$322)</f>
        <v>#REF!</v>
      </c>
      <c r="E322" s="47" t="e">
        <f>$D$321&gt;=0</f>
        <v>#REF!</v>
      </c>
      <c r="F322" s="47" t="e">
        <f>IF($B$309,AND($D$321&lt;=0,SUM($D$321,$C$322)&gt; 0),AND($D$321&lt;=0,SUM($D$321,$R$322)&gt; 0))</f>
        <v>#REF!</v>
      </c>
      <c r="G322" s="47" t="e">
        <f>IF($B$309,AND($D$321&gt;=0,SUM($D$321,$C$322)&lt; 0),AND($D$321&gt;=0,SUM($D$321,$Q$322)&lt; 0))</f>
        <v>#REF!</v>
      </c>
      <c r="H322" s="47" t="e">
        <f>OR($G$322,$F$322)</f>
        <v>#REF!</v>
      </c>
      <c r="I322" s="47" t="e">
        <f>IF($H$322,IF($G$322,"atb","bta"),IF($E$322,"nca","ncb"))</f>
        <v>#REF!</v>
      </c>
      <c r="J322" s="47" t="e">
        <f>IF($H$322,0,IF($B$309,IF($E$322,IF($C$322&gt;=0,$D$321,$D$321+$C$322),IF($C$322&gt;=0,$D$321+$C$322,$D$321)),IF($E$322,SUM($D$321,$Q$322),SUM($D$321,$R$322))))</f>
        <v>#REF!</v>
      </c>
      <c r="K322" s="47"/>
      <c r="L322" s="47"/>
      <c r="M322" s="47" t="e">
        <f>IF(COUNTIF(#REF!, "= 0")+ COUNTBLANK(#REF!) = 1,NA(),IF($B$309,NA(),IF($C$322&gt;=0,SUM($D$321,$R$322),NA())))</f>
        <v>#REF!</v>
      </c>
      <c r="N322" s="47" t="e">
        <f>IF(COUNTIF(#REF!, "= 0")+ COUNTBLANK(#REF!) = 1,NA(),IF($B$309,NA(),IF($C$322&gt;=0,NA(),SUM($D$321,$Q$322))))</f>
        <v>#REF!</v>
      </c>
      <c r="O322" s="47" t="e">
        <f>$C$322</f>
        <v>#REF!</v>
      </c>
      <c r="P322" s="47" t="e">
        <f>$C$322</f>
        <v>#REF!</v>
      </c>
      <c r="Q322" s="47">
        <f>SUMIF($Z$322:$Z$322,"&lt;0")</f>
        <v>0</v>
      </c>
      <c r="R322" s="47">
        <f>SUMIF($Z$322:$Z$322,"&gt;0")</f>
        <v>0</v>
      </c>
      <c r="S322" s="47" t="e">
        <f>IF($B$309,IF($I$322="nca",IF($C$322&gt;=0,0,ABS($C$322)),IF($I$322="ncb",0,IF($I$322="atb",IF($C$322&gt;=0,0,IF($D$321&lt;0,0,IF(ABS($C$322)&gt;$D$321,$D$321,ABS($C$322)))),IF($I$322="bta",0,"err")))),)</f>
        <v>#REF!</v>
      </c>
      <c r="T322" s="47" t="e">
        <f>IF($B$309,IF($I$322="nca",IF($C$322&lt;0,0,ABS($C$322)),IF($I$322="ncb",0,IF($I$322="atb",IF($C$322&lt;=0,0,$C$322),IF($I$322="bta",IF($C$322&lt;=0,0,$V$322+$C$322),"err")))),)</f>
        <v>#REF!</v>
      </c>
      <c r="U322" s="47" t="e">
        <f>IF($B$309,IF($I$322="nca",0,IF($I$322="ncb",IF($C$322&lt;=0,-ABS($C$322),0),IF($I$322="atb",IF($C$322&lt;0,$C$322+$S$322,0),IF($I$322="bta",IF($C$322&lt;=0,$C$322,0),"err")))),)</f>
        <v>#REF!</v>
      </c>
      <c r="V322" s="47" t="e">
        <f>IF($B$309,IF($I$322="nca",0,IF($I$322="ncb",IF($C$322&gt;=0,-ABS($C$322),0),IF($I$322="atb",0,IF($I$322="bta",IF($C$322&lt;=0,0,IF($D$321&gt;0,0,IF(ABS($C$322)&lt;ABS($D$321),-ABS($C$322),$D$321))),"err")))),)</f>
        <v>#REF!</v>
      </c>
      <c r="W322" s="47" t="e">
        <f>IF($C$322&gt;=0,IF($B$309,IF($C$322=0,NA(),$D$322),NA()),NA())</f>
        <v>#REF!</v>
      </c>
      <c r="X322" s="47" t="e">
        <f>IF($C$322&lt;0,IF($B$309,IF($C$322=0,NA(),$D$322),NA()),NA())</f>
        <v>#REF!</v>
      </c>
      <c r="Y322" s="47" t="e">
        <f>IF(IF($B$309,$C$313 = 0,COUNTIF(#REF!, "= 0")+ COUNTBLANK(#REF!) = 1),$Y$321,NA())</f>
        <v>#REF!</v>
      </c>
      <c r="Z322" s="47" t="e">
        <f>#REF!</f>
        <v>#REF!</v>
      </c>
      <c r="AA322" s="47">
        <v>0</v>
      </c>
      <c r="AB322" s="47">
        <v>0</v>
      </c>
      <c r="AC322" s="47">
        <f>IF($B$309,,IF($I$322="nca",IF($Z$322&gt;=0,0,ABS($Z$322)),IF($I$322="ncb",0,IF($I$322="atb",IF($Z$322&gt;=0,0,IF($D$321-$AA$322&lt;0,0,IF(ABS($Z$322)&gt;$D$321-$AA$322,$D$321-$AA$322,ABS($Z$322)))),IF($I$322="bta",0,"err")))))</f>
        <v>0</v>
      </c>
      <c r="AD322" s="47">
        <f>IF($B$309,,IF($I$322="nca",0,IF($I$322="ncb",IF($Z$322&gt;=0,-ABS($Z$322),0),IF($I$322="atb",0,IF($I$322="bta",IF($Z$322&lt;=0,0,IF($D$321+$AB$322&gt;0,0,IF(ABS($Z$322)&lt;ABS($D$321+$AB$322),-ABS($Z$322),$D$321+$AB$322))),"err")))))</f>
        <v>0</v>
      </c>
      <c r="AE322" s="47">
        <f>IF($B$309,,IF($I$322="nca",0,IF($I$322="ncb",IF($Z$322&lt;=0,-ABS($Z$322),0),IF($I$322="atb",IF($Z$322&lt;0,$Z$322+$AC$322,0),IF($I$322="bta",IF($Z$322&lt;=0,$Z$322,0),"err")))))</f>
        <v>0</v>
      </c>
      <c r="AF322" s="47">
        <f>IF($B$309,,IF($I$322="nca",IF($Z$322&lt;0,0,ABS($Z$322)),IF($I$322="ncb",0,IF($I$322="atb",IF($Z$322&lt;=0,0,$Z$322),IF($I$322="bta",IF($Z$322&lt;=0,0,$AD$322+$Z$322),"err")))))</f>
        <v>0</v>
      </c>
      <c r="AG322" s="47" t="b">
        <f>IF(SUM(COUNTIFS($AF$322,"&lt;&gt;0",$AF$322,"&lt;&gt;"),COUNTIFS($AC$322,"&lt;&gt;0",$AC$322,"&lt;&gt;"),COUNTIFS($AD$322,"&lt;&gt;0",$AD$322,"&lt;&gt;"),COUNTIFS($AE$322,"&lt;&gt;0",$AE$322,"&lt;&gt;"))=2,TRUE,FALSE)</f>
        <v>0</v>
      </c>
      <c r="AH322" s="47" t="e">
        <f>IF($B$309,NA(),IF($Z$322=0,NA(),IF($AG$322,SUM($AC$322,$AF$322,$AD$322,$AE$322)/2,IF(OR($AF$322&lt;&gt;0,$AD$322&lt;&gt;0),$D$321+$AB$322,$D$321-$AA$322)+$Z$322/2)))</f>
        <v>#N/A</v>
      </c>
    </row>
    <row r="323" spans="1:34">
      <c r="A323" s="47"/>
      <c r="B323" s="47"/>
      <c r="C323" s="47" t="e">
        <f>#REF!</f>
        <v>#REF!</v>
      </c>
      <c r="D323" s="47" t="e">
        <f>$C$323</f>
        <v>#REF!</v>
      </c>
      <c r="E323" s="47"/>
      <c r="F323" s="47"/>
      <c r="G323" s="47"/>
      <c r="H323" s="47"/>
      <c r="I323" s="47"/>
      <c r="J323" s="47"/>
      <c r="K323" s="47" t="e">
        <f>IF(COUNTIF(#REF!, "= 0")+ COUNTBLANK(#REF!) = 1,NA(),IF($B$308,$D$323,NA()))</f>
        <v>#REF!</v>
      </c>
      <c r="L323" s="47" t="e">
        <f>$D$323</f>
        <v>#REF!</v>
      </c>
      <c r="M323" s="47" t="e">
        <f>IF(COUNTIF(#REF!, "= 0")+ COUNTBLANK(#REF!) = 1,NA(),IF($B$308,NA(),IF($C$323&gt;= 0,$R$323,NA())))</f>
        <v>#REF!</v>
      </c>
      <c r="N323" s="47" t="e">
        <f>IF(COUNTIF(#REF!, "= 0")+ COUNTBLANK(#REF!) = 1,NA(),IF($B$308,NA(),IF($C$323&lt;= 0,$Q$323,NA())))</f>
        <v>#REF!</v>
      </c>
      <c r="O323" s="47" t="e">
        <f>$C$323</f>
        <v>#REF!</v>
      </c>
      <c r="P323" s="47" t="e">
        <f>$C$323</f>
        <v>#REF!</v>
      </c>
      <c r="Q323" s="47">
        <f>SUMIF($Z$323:$Z$323,"&lt;0")</f>
        <v>0</v>
      </c>
      <c r="R323" s="47">
        <f>SUMIF($Z$323:$Z$323,"&gt;0")</f>
        <v>0</v>
      </c>
      <c r="S323" s="47"/>
      <c r="T323" s="47"/>
      <c r="U323" s="47"/>
      <c r="V323" s="47"/>
      <c r="W323" s="47"/>
      <c r="X323" s="47"/>
      <c r="Y323" s="47" t="e">
        <f>$D$313</f>
        <v>#REF!</v>
      </c>
      <c r="Z323" s="47" t="e">
        <f>#REF!</f>
        <v>#REF!</v>
      </c>
      <c r="AA323" s="47">
        <v>0</v>
      </c>
      <c r="AB323" s="47">
        <v>0</v>
      </c>
      <c r="AC323" s="47"/>
      <c r="AD323" s="47"/>
      <c r="AE323" s="47">
        <f>IF($B$308,,IF($Z$323 &lt; 0,$Z$323,))</f>
        <v>0</v>
      </c>
      <c r="AF323" s="47">
        <f>IF($B$308,,IF($Z$323 &gt; 0,$Z$323,))</f>
        <v>0</v>
      </c>
      <c r="AG323" s="47"/>
      <c r="AH323" s="47" t="e">
        <f>IF($B$308,NA(),IF($Z$323 = 0,NA(),IF($Z$323 &gt; 0,$AB$323 + $Z$323/2,-$AA$323 + $Z$323/2)))</f>
        <v>#N/A</v>
      </c>
    </row>
    <row r="324" spans="1:3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 t="e">
        <f>$D$313</f>
        <v>#REF!</v>
      </c>
      <c r="Z324" s="47"/>
      <c r="AA324" s="47"/>
      <c r="AB324" s="47"/>
      <c r="AC324" s="47"/>
      <c r="AD324" s="47"/>
      <c r="AE324" s="47"/>
      <c r="AF324" s="47"/>
      <c r="AG324" s="47"/>
      <c r="AH324" s="47"/>
    </row>
    <row r="325" spans="1:34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 t="e">
        <f>IF(IF($B$309,$C$314 = 0,COUNTIF(#REF!, "= 0")+ COUNTBLANK(#REF!) = 1),$Y$324,NA())</f>
        <v>#REF!</v>
      </c>
      <c r="Z325" s="47"/>
      <c r="AA325" s="47"/>
      <c r="AB325" s="47"/>
      <c r="AC325" s="47"/>
      <c r="AD325" s="47"/>
      <c r="AE325" s="47"/>
      <c r="AF325" s="47"/>
      <c r="AG325" s="47"/>
      <c r="AH325" s="47"/>
    </row>
    <row r="326" spans="1:34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 t="e">
        <f>$D$314</f>
        <v>#REF!</v>
      </c>
      <c r="Z326" s="47"/>
      <c r="AA326" s="47"/>
      <c r="AB326" s="47"/>
      <c r="AC326" s="47"/>
      <c r="AD326" s="47"/>
      <c r="AE326" s="47"/>
      <c r="AF326" s="47"/>
      <c r="AG326" s="47"/>
      <c r="AH326" s="47"/>
    </row>
    <row r="327" spans="1:34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 t="e">
        <f>$D$314</f>
        <v>#REF!</v>
      </c>
      <c r="Z327" s="47"/>
      <c r="AA327" s="47"/>
      <c r="AB327" s="47"/>
      <c r="AC327" s="47"/>
      <c r="AD327" s="47"/>
      <c r="AE327" s="47"/>
      <c r="AF327" s="47"/>
      <c r="AG327" s="47"/>
      <c r="AH327" s="47"/>
    </row>
    <row r="328" spans="1:34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 t="e">
        <f>IF(IF($B$309,$C$315 = 0,COUNTIF(#REF!, "= 0")+ COUNTBLANK(#REF!) = 1),$Y$327,NA())</f>
        <v>#REF!</v>
      </c>
      <c r="Z328" s="47"/>
      <c r="AA328" s="47"/>
      <c r="AB328" s="47"/>
      <c r="AC328" s="47"/>
      <c r="AD328" s="47"/>
      <c r="AE328" s="47"/>
      <c r="AF328" s="47"/>
      <c r="AG328" s="47"/>
      <c r="AH328" s="47"/>
    </row>
    <row r="329" spans="1:34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 t="e">
        <f>$D$315</f>
        <v>#REF!</v>
      </c>
      <c r="Z329" s="47"/>
      <c r="AA329" s="47"/>
      <c r="AB329" s="47"/>
      <c r="AC329" s="47"/>
      <c r="AD329" s="47"/>
      <c r="AE329" s="47"/>
      <c r="AF329" s="47"/>
      <c r="AG329" s="47"/>
      <c r="AH329" s="47"/>
    </row>
    <row r="330" spans="1:34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 t="e">
        <f>$D$315</f>
        <v>#REF!</v>
      </c>
      <c r="Z330" s="47"/>
      <c r="AA330" s="47"/>
      <c r="AB330" s="47"/>
      <c r="AC330" s="47"/>
      <c r="AD330" s="47"/>
      <c r="AE330" s="47"/>
      <c r="AF330" s="47"/>
      <c r="AG330" s="47"/>
      <c r="AH330" s="47"/>
    </row>
    <row r="331" spans="1:34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 t="e">
        <f>IF(IF($B$309,$C$316 = 0,COUNTIF(#REF!, "= 0")+ COUNTBLANK(#REF!) = 1),$Y$330,NA())</f>
        <v>#REF!</v>
      </c>
      <c r="Z331" s="47"/>
      <c r="AA331" s="47"/>
      <c r="AB331" s="47"/>
      <c r="AC331" s="47"/>
      <c r="AD331" s="47"/>
      <c r="AE331" s="47"/>
      <c r="AF331" s="47"/>
      <c r="AG331" s="47"/>
      <c r="AH331" s="47"/>
    </row>
    <row r="332" spans="1:34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 t="e">
        <f>$D$316</f>
        <v>#REF!</v>
      </c>
      <c r="Z332" s="47"/>
      <c r="AA332" s="47"/>
      <c r="AB332" s="47"/>
      <c r="AC332" s="47"/>
      <c r="AD332" s="47"/>
      <c r="AE332" s="47"/>
      <c r="AF332" s="47"/>
      <c r="AG332" s="47"/>
      <c r="AH332" s="47"/>
    </row>
    <row r="333" spans="1:34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 t="e">
        <f>$D$316</f>
        <v>#REF!</v>
      </c>
      <c r="Z333" s="47"/>
      <c r="AA333" s="47"/>
      <c r="AB333" s="47"/>
      <c r="AC333" s="47"/>
      <c r="AD333" s="47"/>
      <c r="AE333" s="47"/>
      <c r="AF333" s="47"/>
      <c r="AG333" s="47"/>
      <c r="AH333" s="47"/>
    </row>
    <row r="334" spans="1: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 t="e">
        <f>IF(IF($B$309,$C$317 = 0,COUNTIF(#REF!, "= 0")+ COUNTBLANK(#REF!) = 1),$Y$333,NA())</f>
        <v>#REF!</v>
      </c>
      <c r="Z334" s="47"/>
      <c r="AA334" s="47"/>
      <c r="AB334" s="47"/>
      <c r="AC334" s="47"/>
      <c r="AD334" s="47"/>
      <c r="AE334" s="47"/>
      <c r="AF334" s="47"/>
      <c r="AG334" s="47"/>
      <c r="AH334" s="47"/>
    </row>
    <row r="335" spans="1:34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 t="e">
        <f>$D$317</f>
        <v>#REF!</v>
      </c>
      <c r="Z335" s="47"/>
      <c r="AA335" s="47"/>
      <c r="AB335" s="47"/>
      <c r="AC335" s="47"/>
      <c r="AD335" s="47"/>
      <c r="AE335" s="47"/>
      <c r="AF335" s="47"/>
      <c r="AG335" s="47"/>
      <c r="AH335" s="47"/>
    </row>
    <row r="336" spans="1:34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 t="e">
        <f>$D$317</f>
        <v>#REF!</v>
      </c>
      <c r="Z336" s="47"/>
      <c r="AA336" s="47"/>
      <c r="AB336" s="47"/>
      <c r="AC336" s="47"/>
      <c r="AD336" s="47"/>
      <c r="AE336" s="47"/>
      <c r="AF336" s="47"/>
      <c r="AG336" s="47"/>
      <c r="AH336" s="47"/>
    </row>
    <row r="337" spans="1:34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 t="e">
        <f>IF(IF($B$309,$C$318 = 0,COUNTIF(#REF!, "= 0")+ COUNTBLANK(#REF!) = 1),$Y$336,NA())</f>
        <v>#REF!</v>
      </c>
      <c r="Z337" s="47"/>
      <c r="AA337" s="47"/>
      <c r="AB337" s="47"/>
      <c r="AC337" s="47"/>
      <c r="AD337" s="47"/>
      <c r="AE337" s="47"/>
      <c r="AF337" s="47"/>
      <c r="AG337" s="47"/>
      <c r="AH337" s="47"/>
    </row>
    <row r="338" spans="1:34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 t="e">
        <f>$D$318</f>
        <v>#REF!</v>
      </c>
      <c r="Z338" s="47"/>
      <c r="AA338" s="47"/>
      <c r="AB338" s="47"/>
      <c r="AC338" s="47"/>
      <c r="AD338" s="47"/>
      <c r="AE338" s="47"/>
      <c r="AF338" s="47"/>
      <c r="AG338" s="47"/>
      <c r="AH338" s="47"/>
    </row>
    <row r="339" spans="1:34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 t="e">
        <f>$D$318</f>
        <v>#REF!</v>
      </c>
      <c r="Z339" s="47"/>
      <c r="AA339" s="47"/>
      <c r="AB339" s="47"/>
      <c r="AC339" s="47"/>
      <c r="AD339" s="47"/>
      <c r="AE339" s="47"/>
      <c r="AF339" s="47"/>
      <c r="AG339" s="47"/>
      <c r="AH339" s="47"/>
    </row>
    <row r="340" spans="1:34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 t="e">
        <f>IF(IF($B$309,$C$319 = 0,COUNTIF(#REF!, "= 0")+ COUNTBLANK(#REF!) = 1),$Y$339,NA())</f>
        <v>#REF!</v>
      </c>
      <c r="Z340" s="47"/>
      <c r="AA340" s="47"/>
      <c r="AB340" s="47"/>
      <c r="AC340" s="47"/>
      <c r="AD340" s="47"/>
      <c r="AE340" s="47"/>
      <c r="AF340" s="47"/>
      <c r="AG340" s="47"/>
      <c r="AH340" s="47"/>
    </row>
    <row r="341" spans="1:34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 t="e">
        <f>$D$319</f>
        <v>#REF!</v>
      </c>
      <c r="Z341" s="47"/>
      <c r="AA341" s="47"/>
      <c r="AB341" s="47"/>
      <c r="AC341" s="47"/>
      <c r="AD341" s="47"/>
      <c r="AE341" s="47"/>
      <c r="AF341" s="47"/>
      <c r="AG341" s="47"/>
      <c r="AH341" s="47"/>
    </row>
    <row r="342" spans="1:34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 t="e">
        <f>$D$319</f>
        <v>#REF!</v>
      </c>
      <c r="Z342" s="47"/>
      <c r="AA342" s="47"/>
      <c r="AB342" s="47"/>
      <c r="AC342" s="47"/>
      <c r="AD342" s="47"/>
      <c r="AE342" s="47"/>
      <c r="AF342" s="47"/>
      <c r="AG342" s="47"/>
      <c r="AH342" s="47"/>
    </row>
    <row r="343" spans="1:34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 t="e">
        <f>IF(IF($B$309,$C$320 = 0,COUNTIF(#REF!, "= 0")+ COUNTBLANK(#REF!) = 1),$Y$342,NA())</f>
        <v>#REF!</v>
      </c>
      <c r="Z343" s="47"/>
      <c r="AA343" s="47"/>
      <c r="AB343" s="47"/>
      <c r="AC343" s="47"/>
      <c r="AD343" s="47"/>
      <c r="AE343" s="47"/>
      <c r="AF343" s="47"/>
      <c r="AG343" s="47"/>
      <c r="AH343" s="47"/>
    </row>
    <row r="344" spans="1:3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 t="e">
        <f>$D$320</f>
        <v>#REF!</v>
      </c>
      <c r="Z344" s="47"/>
      <c r="AA344" s="47"/>
      <c r="AB344" s="47"/>
      <c r="AC344" s="47"/>
      <c r="AD344" s="47"/>
      <c r="AE344" s="47"/>
      <c r="AF344" s="47"/>
      <c r="AG344" s="47"/>
      <c r="AH344" s="47"/>
    </row>
    <row r="345" spans="1:34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 t="e">
        <f>$D$320</f>
        <v>#REF!</v>
      </c>
      <c r="Z345" s="47"/>
      <c r="AA345" s="47"/>
      <c r="AB345" s="47"/>
      <c r="AC345" s="47"/>
      <c r="AD345" s="47"/>
      <c r="AE345" s="47"/>
      <c r="AF345" s="47"/>
      <c r="AG345" s="47"/>
      <c r="AH345" s="47"/>
    </row>
    <row r="346" spans="1:34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 t="e">
        <f>IF(IF($B$309,$C$321 = 0,COUNTIF(#REF!, "= 0")+ COUNTBLANK(#REF!) = 1),$Y$345,NA())</f>
        <v>#REF!</v>
      </c>
      <c r="Z346" s="47"/>
      <c r="AA346" s="47"/>
      <c r="AB346" s="47"/>
      <c r="AC346" s="47"/>
      <c r="AD346" s="47"/>
      <c r="AE346" s="47"/>
      <c r="AF346" s="47"/>
      <c r="AG346" s="47"/>
      <c r="AH346" s="47"/>
    </row>
    <row r="347" spans="1:34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 t="e">
        <f>$D$321</f>
        <v>#REF!</v>
      </c>
      <c r="Z347" s="47"/>
      <c r="AA347" s="47"/>
      <c r="AB347" s="47"/>
      <c r="AC347" s="47"/>
      <c r="AD347" s="47"/>
      <c r="AE347" s="47"/>
      <c r="AF347" s="47"/>
      <c r="AG347" s="47"/>
      <c r="AH347" s="47"/>
    </row>
    <row r="348" spans="1:34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 t="e">
        <f>$D$321</f>
        <v>#REF!</v>
      </c>
      <c r="Z348" s="47"/>
      <c r="AA348" s="47"/>
      <c r="AB348" s="47"/>
      <c r="AC348" s="47"/>
      <c r="AD348" s="47"/>
      <c r="AE348" s="47"/>
      <c r="AF348" s="47"/>
      <c r="AG348" s="47"/>
      <c r="AH348" s="47"/>
    </row>
    <row r="349" spans="1:34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 t="e">
        <f>IF(IF($B$309,$C$322 = 0,COUNTIF(#REF!, "= 0")+ COUNTBLANK(#REF!) = 1),$Y$348,NA())</f>
        <v>#REF!</v>
      </c>
      <c r="Z349" s="47"/>
      <c r="AA349" s="47"/>
      <c r="AB349" s="47"/>
      <c r="AC349" s="47"/>
      <c r="AD349" s="47"/>
      <c r="AE349" s="47"/>
      <c r="AF349" s="47"/>
      <c r="AG349" s="47"/>
      <c r="AH349" s="47"/>
    </row>
    <row r="350" spans="1:34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 t="e">
        <f>$D$322</f>
        <v>#REF!</v>
      </c>
      <c r="Z350" s="47"/>
      <c r="AA350" s="47"/>
      <c r="AB350" s="47"/>
      <c r="AC350" s="47"/>
      <c r="AD350" s="47"/>
      <c r="AE350" s="47"/>
      <c r="AF350" s="47"/>
      <c r="AG350" s="47"/>
      <c r="AH350" s="47"/>
    </row>
    <row r="351" spans="1:34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 t="e">
        <f>$D$322</f>
        <v>#REF!</v>
      </c>
      <c r="Z351" s="47"/>
      <c r="AA351" s="47"/>
      <c r="AB351" s="47"/>
      <c r="AC351" s="47"/>
      <c r="AD351" s="47"/>
      <c r="AE351" s="47"/>
      <c r="AF351" s="47"/>
      <c r="AG351" s="47"/>
      <c r="AH351" s="47"/>
    </row>
    <row r="352" spans="1:34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 t="e">
        <f>IF(IF($B$309,$C$323 = 0,COUNTIF(#REF!, "= 0")+ COUNTBLANK(#REF!) = 1),$Y$351,NA())</f>
        <v>#REF!</v>
      </c>
      <c r="Z352" s="47"/>
      <c r="AA352" s="47"/>
      <c r="AB352" s="47"/>
      <c r="AC352" s="47"/>
      <c r="AD352" s="47"/>
      <c r="AE352" s="47"/>
      <c r="AF352" s="47"/>
      <c r="AG352" s="47"/>
      <c r="AH352" s="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0ACECE49572E49B9E2B6EEF15646F3" ma:contentTypeVersion="11" ma:contentTypeDescription="Create a new document." ma:contentTypeScope="" ma:versionID="6275bc9f071850dee02f8c320a8ef282">
  <xsd:schema xmlns:xsd="http://www.w3.org/2001/XMLSchema" xmlns:xs="http://www.w3.org/2001/XMLSchema" xmlns:p="http://schemas.microsoft.com/office/2006/metadata/properties" xmlns:ns2="30996f19-b754-4f90-98d6-c022be1420b3" xmlns:ns3="ce774d3a-0da9-40f3-b86d-c9c3902288d7" targetNamespace="http://schemas.microsoft.com/office/2006/metadata/properties" ma:root="true" ma:fieldsID="77aba36a371560e532f406b865e29fcb" ns2:_="" ns3:_="">
    <xsd:import namespace="30996f19-b754-4f90-98d6-c022be1420b3"/>
    <xsd:import namespace="ce774d3a-0da9-40f3-b86d-c9c390228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96f19-b754-4f90-98d6-c022be142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74d3a-0da9-40f3-b86d-c9c3902288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e5af1eb-79bf-4b24-8cd0-115ead010127}" ma:internalName="TaxCatchAll" ma:showField="CatchAllData" ma:web="ce774d3a-0da9-40f3-b86d-c9c3902288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96f19-b754-4f90-98d6-c022be1420b3">
      <Terms xmlns="http://schemas.microsoft.com/office/infopath/2007/PartnerControls"/>
    </lcf76f155ced4ddcb4097134ff3c332f>
    <TaxCatchAll xmlns="ce774d3a-0da9-40f3-b86d-c9c3902288d7" xsi:nil="true"/>
  </documentManagement>
</p:properties>
</file>

<file path=customXml/itemProps1.xml><?xml version="1.0" encoding="utf-8"?>
<ds:datastoreItem xmlns:ds="http://schemas.openxmlformats.org/officeDocument/2006/customXml" ds:itemID="{20EB57AF-BB95-440D-B37B-BB97D3B1D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96f19-b754-4f90-98d6-c022be1420b3"/>
    <ds:schemaRef ds:uri="ce774d3a-0da9-40f3-b86d-c9c390228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05CF6-6A4B-405C-ADE3-8E87E263C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E4E048-7FEC-48FE-90CF-EA46308E64CB}">
  <ds:schemaRefs>
    <ds:schemaRef ds:uri="30996f19-b754-4f90-98d6-c022be1420b3"/>
    <ds:schemaRef ds:uri="http://schemas.microsoft.com/office/2006/documentManagement/types"/>
    <ds:schemaRef ds:uri="http://purl.org/dc/dcmitype/"/>
    <ds:schemaRef ds:uri="http://purl.org/dc/terms/"/>
    <ds:schemaRef ds:uri="ce774d3a-0da9-40f3-b86d-c9c3902288d7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Lease summary</vt:lpstr>
      <vt:lpstr>Revenue | Professional Services</vt:lpstr>
      <vt:lpstr>UPSLIDE_Undo</vt:lpstr>
      <vt:lpstr>UPSLIDE_UndoFormatting</vt:lpstr>
      <vt:lpstr>UPSLIDE_Waterfall</vt:lpstr>
      <vt:lpstr>UPSLIDE_StackedWaterfall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., Arushi</dc:creator>
  <cp:keywords/>
  <dc:description/>
  <cp:lastModifiedBy>Sharma, Rishi</cp:lastModifiedBy>
  <cp:revision/>
  <cp:lastPrinted>2024-08-21T22:51:39Z</cp:lastPrinted>
  <dcterms:created xsi:type="dcterms:W3CDTF">2015-06-05T18:17:20Z</dcterms:created>
  <dcterms:modified xsi:type="dcterms:W3CDTF">2026-03-06T20:34:18Z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pSlide_7802453903008.402533[DESTINATION]">
    <vt:lpwstr>Powerpoint, 916</vt:lpwstr>
  </property>
  <property fmtid="{D5CDD505-2E9C-101B-9397-08002B2CF9AE}" pid="3" name="UpSlide_7802453903008.402533[PATH]">
    <vt:lpwstr>C:\Users\arushi1\Documents\my projects\ongoing\North\May 20\Project Jupiter_Draft Report 05.02.2024.pptx</vt:lpwstr>
  </property>
  <property fmtid="{D5CDD505-2E9C-101B-9397-08002B2CF9AE}" pid="4" name="UpSlide_2723453903027.634093[DESTINATION]">
    <vt:lpwstr>Powerpoint, 916</vt:lpwstr>
  </property>
  <property fmtid="{D5CDD505-2E9C-101B-9397-08002B2CF9AE}" pid="5" name="UpSlide_2723453903027.634093[PATH]">
    <vt:lpwstr>C:\Users\arushi1\Documents\my projects\ongoing\North\May 20\Project Jupiter_Draft Report 05.02.2024.pptx</vt:lpwstr>
  </property>
  <property fmtid="{D5CDD505-2E9C-101B-9397-08002B2CF9AE}" pid="6" name="UpSlide_9840453903077.584699[DESTINATION]">
    <vt:lpwstr>Powerpoint, 916</vt:lpwstr>
  </property>
  <property fmtid="{D5CDD505-2E9C-101B-9397-08002B2CF9AE}" pid="7" name="UpSlide_9840453903077.584699[PATH]">
    <vt:lpwstr>C:\Users\arushi1\Documents\my projects\ongoing\North\May 20\Project Jupiter_Draft Report 05.02.2024.pptx</vt:lpwstr>
  </property>
  <property fmtid="{D5CDD505-2E9C-101B-9397-08002B2CF9AE}" pid="8" name="UpSlide_8004453903511.357921[DESTINATION]">
    <vt:lpwstr>Powerpoint, 897</vt:lpwstr>
  </property>
  <property fmtid="{D5CDD505-2E9C-101B-9397-08002B2CF9AE}" pid="9" name="UpSlide_8004453903511.357921[PATH]">
    <vt:lpwstr>C:\Users\arushi1\Documents\my projects\ongoing\North\May 20\Project Jupiter_Draft Report 05.02.2024.pptx</vt:lpwstr>
  </property>
  <property fmtid="{D5CDD505-2E9C-101B-9397-08002B2CF9AE}" pid="10" name="UpSlide_9412453903672.186011[DESTINATION]">
    <vt:lpwstr>Powerpoint, 918</vt:lpwstr>
  </property>
  <property fmtid="{D5CDD505-2E9C-101B-9397-08002B2CF9AE}" pid="11" name="UpSlide_9412453903672.186011[PATH]">
    <vt:lpwstr>https://kpmgcan.sharepoint.com/sites/CA-KGSCanada-ProjectNorth/Shared Documents/Project North/Staff Files/Project North_Draft report_23-May-24.pptx</vt:lpwstr>
  </property>
  <property fmtid="{D5CDD505-2E9C-101B-9397-08002B2CF9AE}" pid="12" name="ContentTypeId">
    <vt:lpwstr>0x010100B50ACECE49572E49B9E2B6EEF15646F3</vt:lpwstr>
  </property>
  <property fmtid="{D5CDD505-2E9C-101B-9397-08002B2CF9AE}" pid="13" name="UpSlide_6233454183555.655246[DESTINATION]">
    <vt:lpwstr>Powerpoint, 897</vt:lpwstr>
  </property>
  <property fmtid="{D5CDD505-2E9C-101B-9397-08002B2CF9AE}" pid="14" name="UpSlide_6233454183555.655246[PATH]">
    <vt:lpwstr>https://kpmgcan.sharepoint.com/sites/CA-KGSCanada-ProjectNorth/Shared Documents/Project North/Staff Files/Project North_Draft report_23-May-24.pptx</vt:lpwstr>
  </property>
  <property fmtid="{D5CDD505-2E9C-101B-9397-08002B2CF9AE}" pid="15" name="UpSlide_3748454273706.834861[DESTINATION]">
    <vt:lpwstr>Powerpoint, 796</vt:lpwstr>
  </property>
  <property fmtid="{D5CDD505-2E9C-101B-9397-08002B2CF9AE}" pid="16" name="UpSlide_3748454273706.834861[PATH]">
    <vt:lpwstr>https://kpmgcan.sharepoint.com/sites/CA-KGSCanada-ProjectNorth/Shared Documents/Project North/Staff Files/Project North_Draft report_23-May-24.pptx</vt:lpwstr>
  </property>
  <property fmtid="{D5CDD505-2E9C-101B-9397-08002B2CF9AE}" pid="17" name="UpSlide_479454274338.274045[DESTINATION]">
    <vt:lpwstr>Powerpoint, 4709</vt:lpwstr>
  </property>
  <property fmtid="{D5CDD505-2E9C-101B-9397-08002B2CF9AE}" pid="18" name="UpSlide_479454274338.274045[PATH]">
    <vt:lpwstr>https://kpmgcan.sharepoint.com/sites/CA-KGSCanada-ProjectNorth/Shared Documents/Project North/Staff Files/Project North_Draft report_23-May-24.pptx</vt:lpwstr>
  </property>
  <property fmtid="{D5CDD505-2E9C-101B-9397-08002B2CF9AE}" pid="19" name="UpSlide_3263454542442.120997[DESTINATION]">
    <vt:lpwstr>Powerpoint, 4710</vt:lpwstr>
  </property>
  <property fmtid="{D5CDD505-2E9C-101B-9397-08002B2CF9AE}" pid="20" name="UpSlide_3263454542442.120997[PATH]">
    <vt:lpwstr>https://kpmgcan.sharepoint.com/sites/CA-KGSCanada-ProjectNorth/Shared Documents/Project North/Staff Files/Project North_Draft report_27-May-24.pptx</vt:lpwstr>
  </property>
  <property fmtid="{D5CDD505-2E9C-101B-9397-08002B2CF9AE}" pid="21" name="UpSlide_7865454544806.626238[DESTINATION]">
    <vt:lpwstr>Powerpoint, 4711</vt:lpwstr>
  </property>
  <property fmtid="{D5CDD505-2E9C-101B-9397-08002B2CF9AE}" pid="22" name="UpSlide_7865454544806.626238[PATH]">
    <vt:lpwstr>https://kpmgcan.sharepoint.com/sites/CA-KGSCanada-ProjectNorth/Shared Documents/Project North/Staff Files/Project North_Draft report_28-May-24.pptx</vt:lpwstr>
  </property>
  <property fmtid="{D5CDD505-2E9C-101B-9397-08002B2CF9AE}" pid="23" name="UpSlide_7154454601005.845073[DESTINATION]">
    <vt:lpwstr>Powerpoint, 4710</vt:lpwstr>
  </property>
  <property fmtid="{D5CDD505-2E9C-101B-9397-08002B2CF9AE}" pid="24" name="UpSlide_7154454601005.845073[PATH]">
    <vt:lpwstr>https://kpmgcan.sharepoint.com/sites/CA-KGSCanada-ProjectNorth/Shared Documents/Project North/Staff Files/Project North_Draft report_28-May-24.pptx</vt:lpwstr>
  </property>
  <property fmtid="{D5CDD505-2E9C-101B-9397-08002B2CF9AE}" pid="25" name="UpSlide_8453454607423.191877[DESTINATION]">
    <vt:lpwstr>Powerpoint, 4698</vt:lpwstr>
  </property>
  <property fmtid="{D5CDD505-2E9C-101B-9397-08002B2CF9AE}" pid="26" name="UpSlide_8453454607423.191877[PATH]">
    <vt:lpwstr>https://kpmgcan.sharepoint.com/sites/CA-KGSCanada-ProjectNorth/Shared Documents/Project North/Staff Files/Project North_Draft report_28-May-24.pptx</vt:lpwstr>
  </property>
  <property fmtid="{D5CDD505-2E9C-101B-9397-08002B2CF9AE}" pid="27" name="UpSlide_3519454607766.901368[DESTINATION]">
    <vt:lpwstr>Powerpoint, 916</vt:lpwstr>
  </property>
  <property fmtid="{D5CDD505-2E9C-101B-9397-08002B2CF9AE}" pid="28" name="UpSlide_3519454607766.901368[PATH]">
    <vt:lpwstr>https://kpmgcan.sharepoint.com/sites/CA-KGSCanada-ProjectNorth/Shared Documents/Project North/Staff Files/Project North_Draft report_28-May-24.pptx</vt:lpwstr>
  </property>
  <property fmtid="{D5CDD505-2E9C-101B-9397-08002B2CF9AE}" pid="29" name="UpSlide_8819454607845.227372[DESTINATION]">
    <vt:lpwstr>Powerpoint, 916</vt:lpwstr>
  </property>
  <property fmtid="{D5CDD505-2E9C-101B-9397-08002B2CF9AE}" pid="30" name="UpSlide_8819454607845.227372[PATH]">
    <vt:lpwstr>https://kpmgcan.sharepoint.com/sites/CA-KGSCanada-ProjectNorth/Shared Documents/Project North/Staff Files/Project North_Draft report_28-May-24.pptx</vt:lpwstr>
  </property>
  <property fmtid="{D5CDD505-2E9C-101B-9397-08002B2CF9AE}" pid="31" name="UpSlide_7932454608053.193632[DESTINATION]">
    <vt:lpwstr>Powerpoint, 866</vt:lpwstr>
  </property>
  <property fmtid="{D5CDD505-2E9C-101B-9397-08002B2CF9AE}" pid="32" name="UpSlide_7932454608053.193632[PATH]">
    <vt:lpwstr>C:\Users\arushi1\Documents\my projects\ongoing\North\Jun 4\Project North_Draft report_03-Jun-24.pptx</vt:lpwstr>
  </property>
  <property fmtid="{D5CDD505-2E9C-101B-9397-08002B2CF9AE}" pid="33" name="UpSlide_2755454614933.893047[DESTINATION]">
    <vt:lpwstr>Powerpoint, 4712</vt:lpwstr>
  </property>
  <property fmtid="{D5CDD505-2E9C-101B-9397-08002B2CF9AE}" pid="34" name="UpSlide_2755454614933.893047[PATH]">
    <vt:lpwstr>C:\Users\arushi1\Documents\my projects\ongoing\North\June 3\Project North_Draft report_28-May-24.pptx</vt:lpwstr>
  </property>
  <property fmtid="{D5CDD505-2E9C-101B-9397-08002B2CF9AE}" pid="35" name="UpSlide_6367455107437.977043[DESTINATION]">
    <vt:lpwstr>Powerpoint, 4712</vt:lpwstr>
  </property>
  <property fmtid="{D5CDD505-2E9C-101B-9397-08002B2CF9AE}" pid="36" name="UpSlide_6367455107437.977043[PATH]">
    <vt:lpwstr>C:\Users\arushi1\Documents\my projects\ongoing\North\June 3\Project North_Draft report_28-May-24.pptx</vt:lpwstr>
  </property>
  <property fmtid="{D5CDD505-2E9C-101B-9397-08002B2CF9AE}" pid="37" name="UpSlide_4442455107771.750739[DESTINATION]">
    <vt:lpwstr>Powerpoint, 4713</vt:lpwstr>
  </property>
  <property fmtid="{D5CDD505-2E9C-101B-9397-08002B2CF9AE}" pid="38" name="UpSlide_4442455107771.750739[PATH]">
    <vt:lpwstr>C:\Users\arushi1\Documents\my projects\ongoing\North\June 3\Project North_Draft report_28-May-24.pptx</vt:lpwstr>
  </property>
  <property fmtid="{D5CDD505-2E9C-101B-9397-08002B2CF9AE}" pid="39" name="UpSlide_2944455108354.656794[DESTINATION]">
    <vt:lpwstr>Powerpoint, 4713</vt:lpwstr>
  </property>
  <property fmtid="{D5CDD505-2E9C-101B-9397-08002B2CF9AE}" pid="40" name="UpSlide_2944455108354.656794[PATH]">
    <vt:lpwstr>C:\Users\arushi1\Documents\my projects\ongoing\North\Jun 10\Project North_Draft report_09-Jun-24.pptx</vt:lpwstr>
  </property>
  <property fmtid="{D5CDD505-2E9C-101B-9397-08002B2CF9AE}" pid="41" name="UpSlide_384455111431.876633[DESTINATION]">
    <vt:lpwstr>Powerpoint, 4715</vt:lpwstr>
  </property>
  <property fmtid="{D5CDD505-2E9C-101B-9397-08002B2CF9AE}" pid="42" name="UpSlide_384455111431.876633[PATH]">
    <vt:lpwstr>C:\Users\arushi1\Documents\my projects\ongoing\North\June 3\Project North_Draft report_28-May-24.pptx</vt:lpwstr>
  </property>
  <property fmtid="{D5CDD505-2E9C-101B-9397-08002B2CF9AE}" pid="43" name="UpSlide_9749455116598.7686[DESTINATION]">
    <vt:lpwstr>Powerpoint, 4716</vt:lpwstr>
  </property>
  <property fmtid="{D5CDD505-2E9C-101B-9397-08002B2CF9AE}" pid="44" name="UpSlide_9749455116598.7686[PATH]">
    <vt:lpwstr>C:\Users\arushi1\Documents\my projects\ongoing\North\June 3\Project North_Draft report_28-May-24.pptx</vt:lpwstr>
  </property>
  <property fmtid="{D5CDD505-2E9C-101B-9397-08002B2CF9AE}" pid="45" name="UpSlide_6566455116839.025503[DESTINATION]">
    <vt:lpwstr>Powerpoint, 4717</vt:lpwstr>
  </property>
  <property fmtid="{D5CDD505-2E9C-101B-9397-08002B2CF9AE}" pid="46" name="UpSlide_6566455116839.025503[PATH]">
    <vt:lpwstr>C:\Users\arushi1\Documents\my projects\ongoing\North\June 3\Project North_Draft report_28-May-24.pptx</vt:lpwstr>
  </property>
  <property fmtid="{D5CDD505-2E9C-101B-9397-08002B2CF9AE}" pid="47" name="UpSlide_990455117037.98879[DESTINATION]">
    <vt:lpwstr>Powerpoint, 4717</vt:lpwstr>
  </property>
  <property fmtid="{D5CDD505-2E9C-101B-9397-08002B2CF9AE}" pid="48" name="UpSlide_990455117037.98879[PATH]">
    <vt:lpwstr>C:\Users\arushi1\Documents\my projects\ongoing\North\June 3\Project North_Draft report_28-May-24.pptx</vt:lpwstr>
  </property>
  <property fmtid="{D5CDD505-2E9C-101B-9397-08002B2CF9AE}" pid="49" name="UpSlide_639455117251.793015[DESTINATION]">
    <vt:lpwstr>Powerpoint, 4719</vt:lpwstr>
  </property>
  <property fmtid="{D5CDD505-2E9C-101B-9397-08002B2CF9AE}" pid="50" name="UpSlide_639455117251.793015[PATH]">
    <vt:lpwstr>C:\Users\arushi1\Documents\my projects\ongoing\North\June 3\Project North_Draft report_28-May-24.pptx</vt:lpwstr>
  </property>
  <property fmtid="{D5CDD505-2E9C-101B-9397-08002B2CF9AE}" pid="51" name="UpSlide_192455117408.047343[DESTINATION]">
    <vt:lpwstr>Powerpoint, 4720</vt:lpwstr>
  </property>
  <property fmtid="{D5CDD505-2E9C-101B-9397-08002B2CF9AE}" pid="52" name="UpSlide_192455117408.047343[PATH]">
    <vt:lpwstr>C:\Users\arushi1\Documents\my projects\ongoing\North\June 3\Project North_Draft report_28-May-24.pptx</vt:lpwstr>
  </property>
  <property fmtid="{D5CDD505-2E9C-101B-9397-08002B2CF9AE}" pid="53" name="UpSlide_7253455117525.149579[DESTINATION]">
    <vt:lpwstr>Powerpoint, 4721</vt:lpwstr>
  </property>
  <property fmtid="{D5CDD505-2E9C-101B-9397-08002B2CF9AE}" pid="54" name="UpSlide_7253455117525.149579[PATH]">
    <vt:lpwstr>C:\Users\arushi1\Documents\my projects\ongoing\North\June 3\Project North_Draft report_28-May-24.pptx</vt:lpwstr>
  </property>
  <property fmtid="{D5CDD505-2E9C-101B-9397-08002B2CF9AE}" pid="55" name="UpSlide_5594455186680.702484[DESTINATION]">
    <vt:lpwstr>Powerpoint, 4723</vt:lpwstr>
  </property>
  <property fmtid="{D5CDD505-2E9C-101B-9397-08002B2CF9AE}" pid="56" name="UpSlide_5594455186680.702484[PATH]">
    <vt:lpwstr>C:\Users\arushi1\Documents\my projects\ongoing\North\Jun 10\Project North_Draft report_09-Jun-24.pptx</vt:lpwstr>
  </property>
  <property fmtid="{D5CDD505-2E9C-101B-9397-08002B2CF9AE}" pid="57" name="UpSlide_3075455190189.121969[DESTINATION]">
    <vt:lpwstr>Powerpoint, 926</vt:lpwstr>
  </property>
  <property fmtid="{D5CDD505-2E9C-101B-9397-08002B2CF9AE}" pid="58" name="UpSlide_3075455190189.121969[PATH]">
    <vt:lpwstr>C:\Users\arushi1\Documents\my projects\ongoing\North\Jun 10\Project North_Draft report_09-Jun-24.pptx</vt:lpwstr>
  </property>
  <property fmtid="{D5CDD505-2E9C-101B-9397-08002B2CF9AE}" pid="59" name="UpSlide_6802455194209.081523[DESTINATION]">
    <vt:lpwstr>Powerpoint, 4723</vt:lpwstr>
  </property>
  <property fmtid="{D5CDD505-2E9C-101B-9397-08002B2CF9AE}" pid="60" name="UpSlide_6802455194209.081523[PATH]">
    <vt:lpwstr>C:\Users\arushi1\Documents\my projects\ongoing\North\Jun 10\Project North_Draft report_09-Jun-24.pptx</vt:lpwstr>
  </property>
  <property fmtid="{D5CDD505-2E9C-101B-9397-08002B2CF9AE}" pid="61" name="UpSlide_9843455195578.602867[DESTINATION]">
    <vt:lpwstr>Powerpoint, 4725</vt:lpwstr>
  </property>
  <property fmtid="{D5CDD505-2E9C-101B-9397-08002B2CF9AE}" pid="62" name="UpSlide_9843455195578.602867[PATH]">
    <vt:lpwstr>C:\Users\arushi1\Documents\my projects\ongoing\North\Jun 4\Project North_Draft report_03-Jun-24.pptx</vt:lpwstr>
  </property>
  <property fmtid="{D5CDD505-2E9C-101B-9397-08002B2CF9AE}" pid="63" name="UpSlide_5998455195604.346362[DESTINATION]">
    <vt:lpwstr>Powerpoint, 4725</vt:lpwstr>
  </property>
  <property fmtid="{D5CDD505-2E9C-101B-9397-08002B2CF9AE}" pid="64" name="UpSlide_5998455195604.346362[PATH]">
    <vt:lpwstr>C:\Users\arushi1\Documents\my projects\ongoing\North\Jun 10\Project North_Draft report_09-Jun-24.pptx</vt:lpwstr>
  </property>
  <property fmtid="{D5CDD505-2E9C-101B-9397-08002B2CF9AE}" pid="65" name="UpSlide_6222455196638.57186[DESTINATION]">
    <vt:lpwstr>Powerpoint, 4694</vt:lpwstr>
  </property>
  <property fmtid="{D5CDD505-2E9C-101B-9397-08002B2CF9AE}" pid="66" name="UpSlide_6222455196638.57186[PATH]">
    <vt:lpwstr>C:\Users\arushi1\Documents\my projects\ongoing\North\Jun 10\Project North_Draft report_09-Jun-24.pptx</vt:lpwstr>
  </property>
  <property fmtid="{D5CDD505-2E9C-101B-9397-08002B2CF9AE}" pid="67" name="UpSlide_4809455196676.457236[DESTINATION]">
    <vt:lpwstr>Powerpoint, 4694</vt:lpwstr>
  </property>
  <property fmtid="{D5CDD505-2E9C-101B-9397-08002B2CF9AE}" pid="68" name="UpSlide_4809455196676.457236[PATH]">
    <vt:lpwstr>C:\Users\arushi1\Documents\my projects\ongoing\North\Jun 10\Project North_Draft report_09-Jun-24.pptx</vt:lpwstr>
  </property>
  <property fmtid="{D5CDD505-2E9C-101B-9397-08002B2CF9AE}" pid="69" name="UpSlide_5897455197646.514908[DESTINATION]">
    <vt:lpwstr>Powerpoint, 4697</vt:lpwstr>
  </property>
  <property fmtid="{D5CDD505-2E9C-101B-9397-08002B2CF9AE}" pid="70" name="UpSlide_5897455197646.514908[PATH]">
    <vt:lpwstr>C:\Users\arushi1\Documents\my projects\ongoing\North\Jun 10\Project North_Draft report_09-Jun-24.pptx</vt:lpwstr>
  </property>
  <property fmtid="{D5CDD505-2E9C-101B-9397-08002B2CF9AE}" pid="71" name="UpSlide_5090455702373.754522[DESTINATION]">
    <vt:lpwstr>Powerpoint, 4725</vt:lpwstr>
  </property>
  <property fmtid="{D5CDD505-2E9C-101B-9397-08002B2CF9AE}" pid="72" name="UpSlide_5090455702373.754522[PATH]">
    <vt:lpwstr>C:\Users\arushi1\Documents\my projects\ongoing\North\Jun 10\Project North_Draft report_09-Jun-24.pptx</vt:lpwstr>
  </property>
  <property fmtid="{D5CDD505-2E9C-101B-9397-08002B2CF9AE}" pid="73" name="UpSlide_7829455703902.717526[DESTINATION]">
    <vt:lpwstr>Powerpoint, 4711</vt:lpwstr>
  </property>
  <property fmtid="{D5CDD505-2E9C-101B-9397-08002B2CF9AE}" pid="74" name="UpSlide_7829455703902.717526[PATH]">
    <vt:lpwstr>C:\Users\arushi1\Documents\my projects\ongoing\North\Jun 10\Project North_Draft report_09-Jun-24.pptx</vt:lpwstr>
  </property>
  <property fmtid="{D5CDD505-2E9C-101B-9397-08002B2CF9AE}" pid="75" name="UpSlide_1638455879732.84961[DESTINATION]">
    <vt:lpwstr>Powerpoint, 866</vt:lpwstr>
  </property>
  <property fmtid="{D5CDD505-2E9C-101B-9397-08002B2CF9AE}" pid="76" name="UpSlide_1638455879732.84961[PATH]">
    <vt:lpwstr>C:\Users\priyankaparihar\OneDrive - KPMG\Documents\Work\Projects\ADHOC\North\12-Jun-24\WIP\Project North_Draft report_11-Jun-24 v1.pptx</vt:lpwstr>
  </property>
  <property fmtid="{D5CDD505-2E9C-101B-9397-08002B2CF9AE}" pid="77" name="UpSlide_4849455879919.348801[DESTINATION]">
    <vt:lpwstr>Powerpoint, 916</vt:lpwstr>
  </property>
  <property fmtid="{D5CDD505-2E9C-101B-9397-08002B2CF9AE}" pid="78" name="UpSlide_4849455879919.348801[PATH]">
    <vt:lpwstr>C:\Users\priyankaparihar\OneDrive - KPMG\Documents\Work\Projects\ADHOC\North\12-Jun-24\WIP\Project North_Draft report_11-Jun-24 v1.pptx</vt:lpwstr>
  </property>
  <property fmtid="{D5CDD505-2E9C-101B-9397-08002B2CF9AE}" pid="79" name="UpSlide_2883455879974.556075[DESTINATION]">
    <vt:lpwstr>Powerpoint, 916</vt:lpwstr>
  </property>
  <property fmtid="{D5CDD505-2E9C-101B-9397-08002B2CF9AE}" pid="80" name="UpSlide_2883455879974.556075[PATH]">
    <vt:lpwstr>C:\Users\priyankaparihar\OneDrive - KPMG\Documents\Work\Projects\ADHOC\North\12-Jun-24\WIP\Project North_Draft report_11-Jun-24 v1.pptx</vt:lpwstr>
  </property>
  <property fmtid="{D5CDD505-2E9C-101B-9397-08002B2CF9AE}" pid="81" name="UpSlide_5562455880172.455196[DESTINATION]">
    <vt:lpwstr>Powerpoint, 874</vt:lpwstr>
  </property>
  <property fmtid="{D5CDD505-2E9C-101B-9397-08002B2CF9AE}" pid="82" name="UpSlide_5562455880172.455196[PATH]">
    <vt:lpwstr>C:\Users\priyankaparihar\OneDrive - KPMG\Documents\Work\Projects\ADHOC\North\12-Jun-24\WIP\Project North_Draft report_11-Jun-24 v1.pptx</vt:lpwstr>
  </property>
  <property fmtid="{D5CDD505-2E9C-101B-9397-08002B2CF9AE}" pid="83" name="UpSlide_6922455880233.804766[DESTINATION]">
    <vt:lpwstr>Powerpoint, 909</vt:lpwstr>
  </property>
  <property fmtid="{D5CDD505-2E9C-101B-9397-08002B2CF9AE}" pid="84" name="UpSlide_6922455880233.804766[PATH]">
    <vt:lpwstr>C:\Users\priyankaparihar\OneDrive - KPMG\Documents\Work\Projects\ADHOC\North\12-Jun-24\WIP\Project North_Draft report_11-Jun-24 v1.pptx</vt:lpwstr>
  </property>
  <property fmtid="{D5CDD505-2E9C-101B-9397-08002B2CF9AE}" pid="85" name="UpSlide_6367455880772.367305[DESTINATION]">
    <vt:lpwstr>Powerpoint, 4723</vt:lpwstr>
  </property>
  <property fmtid="{D5CDD505-2E9C-101B-9397-08002B2CF9AE}" pid="86" name="UpSlide_6367455880772.367305[PATH]">
    <vt:lpwstr>C:\Users\priyankaparihar\OneDrive - KPMG\Documents\Work\Projects\ADHOC\North\12-Jun-24\WIP\Project North_Draft report_11-Jun-24 v1.pptx</vt:lpwstr>
  </property>
  <property fmtid="{D5CDD505-2E9C-101B-9397-08002B2CF9AE}" pid="87" name="UpSlide_6670455881059.626045[DESTINATION]">
    <vt:lpwstr>Powerpoint, 926</vt:lpwstr>
  </property>
  <property fmtid="{D5CDD505-2E9C-101B-9397-08002B2CF9AE}" pid="88" name="UpSlide_6670455881059.626045[PATH]">
    <vt:lpwstr>C:\Users\priyankaparihar\OneDrive - KPMG\Documents\Work\Projects\ADHOC\North\12-Jun-24\WIP\Project North_Draft report_11-Jun-24 v1.pptx</vt:lpwstr>
  </property>
  <property fmtid="{D5CDD505-2E9C-101B-9397-08002B2CF9AE}" pid="89" name="UpSlide_9093455881604.585868[DESTINATION]">
    <vt:lpwstr>Powerpoint, 4723</vt:lpwstr>
  </property>
  <property fmtid="{D5CDD505-2E9C-101B-9397-08002B2CF9AE}" pid="90" name="UpSlide_9093455881604.585868[PATH]">
    <vt:lpwstr>C:\Users\priyankaparihar\OneDrive - KPMG\Documents\Work\Projects\ADHOC\North\12-Jun-24\WIP\Project North_Draft report_11-Jun-24 v1.pptx</vt:lpwstr>
  </property>
  <property fmtid="{D5CDD505-2E9C-101B-9397-08002B2CF9AE}" pid="91" name="UpSlide_3236455881832.850582[DESTINATION]">
    <vt:lpwstr>Powerpoint, 4725</vt:lpwstr>
  </property>
  <property fmtid="{D5CDD505-2E9C-101B-9397-08002B2CF9AE}" pid="92" name="UpSlide_3236455881832.850582[PATH]">
    <vt:lpwstr>C:\Users\priyankaparihar\OneDrive - KPMG\Documents\Work\Projects\ADHOC\North\12-Jun-24\WIP\Project North_Draft report_11-Jun-24 v1.pptx</vt:lpwstr>
  </property>
  <property fmtid="{D5CDD505-2E9C-101B-9397-08002B2CF9AE}" pid="93" name="UpSlide_3929455881877.177754[DESTINATION]">
    <vt:lpwstr>Powerpoint, 4725</vt:lpwstr>
  </property>
  <property fmtid="{D5CDD505-2E9C-101B-9397-08002B2CF9AE}" pid="94" name="UpSlide_3929455881877.177754[PATH]">
    <vt:lpwstr>C:\Users\priyankaparihar\OneDrive - KPMG\Documents\Work\Projects\ADHOC\North\12-Jun-24\WIP\Project North_Draft report_11-Jun-24 v1.pptx</vt:lpwstr>
  </property>
  <property fmtid="{D5CDD505-2E9C-101B-9397-08002B2CF9AE}" pid="95" name="UpSlide_785455882456.880848[DESTINATION]">
    <vt:lpwstr>Powerpoint, 4719</vt:lpwstr>
  </property>
  <property fmtid="{D5CDD505-2E9C-101B-9397-08002B2CF9AE}" pid="96" name="UpSlide_785455882456.880848[PATH]">
    <vt:lpwstr>C:\Users\priyankaparihar\OneDrive - KPMG\Documents\Work\Projects\ADHOC\North\12-Jun-24\WIP\Project North_Draft report_11-Jun-24 v1.pptx</vt:lpwstr>
  </property>
  <property fmtid="{D5CDD505-2E9C-101B-9397-08002B2CF9AE}" pid="97" name="UpSlide_6150455882610.299965[DESTINATION]">
    <vt:lpwstr>Powerpoint, 4720</vt:lpwstr>
  </property>
  <property fmtid="{D5CDD505-2E9C-101B-9397-08002B2CF9AE}" pid="98" name="UpSlide_6150455882610.299965[PATH]">
    <vt:lpwstr>C:\Users\priyankaparihar\OneDrive - KPMG\Documents\Work\Projects\ADHOC\North\12-Jun-24\WIP\Project North_Draft report_11-Jun-24 v1.pptx</vt:lpwstr>
  </property>
  <property fmtid="{D5CDD505-2E9C-101B-9397-08002B2CF9AE}" pid="99" name="UpSlide_9917455882719.774909[DESTINATION]">
    <vt:lpwstr>Powerpoint, 4716</vt:lpwstr>
  </property>
  <property fmtid="{D5CDD505-2E9C-101B-9397-08002B2CF9AE}" pid="100" name="UpSlide_9917455882719.774909[PATH]">
    <vt:lpwstr>C:\Users\priyankaparihar\OneDrive - KPMG\Documents\Work\Projects\ADHOC\North\12-Jun-24\WIP\Project North_Draft report_11-Jun-24 v1.pptx</vt:lpwstr>
  </property>
  <property fmtid="{D5CDD505-2E9C-101B-9397-08002B2CF9AE}" pid="101" name="UpSlide_7055455882916.405073[DESTINATION]">
    <vt:lpwstr>Powerpoint, 4715</vt:lpwstr>
  </property>
  <property fmtid="{D5CDD505-2E9C-101B-9397-08002B2CF9AE}" pid="102" name="UpSlide_7055455882916.405073[PATH]">
    <vt:lpwstr>C:\Users\priyankaparihar\OneDrive - KPMG\Documents\Work\Projects\ADHOC\North\12-Jun-24\WIP\Project North_Draft report_11-Jun-24 v1.pptx</vt:lpwstr>
  </property>
  <property fmtid="{D5CDD505-2E9C-101B-9397-08002B2CF9AE}" pid="103" name="UpSlide_6672455882977.88619[DESTINATION]">
    <vt:lpwstr>Powerpoint, 4721</vt:lpwstr>
  </property>
  <property fmtid="{D5CDD505-2E9C-101B-9397-08002B2CF9AE}" pid="104" name="UpSlide_6672455882977.88619[PATH]">
    <vt:lpwstr>C:\Users\priyankaparihar\OneDrive - KPMG\Documents\Work\Projects\ADHOC\North\12-Jun-24\WIP\Project North_Draft report_11-Jun-24 v1.pptx</vt:lpwstr>
  </property>
  <property fmtid="{D5CDD505-2E9C-101B-9397-08002B2CF9AE}" pid="105" name="UpSlide_2565455883087.858917[DESTINATION]">
    <vt:lpwstr>Powerpoint, 4718</vt:lpwstr>
  </property>
  <property fmtid="{D5CDD505-2E9C-101B-9397-08002B2CF9AE}" pid="106" name="UpSlide_2565455883087.858917[PATH]">
    <vt:lpwstr>C:\Users\priyankaparihar\OneDrive - KPMG\Documents\Work\Projects\ADHOC\North\12-Jun-24\WIP\Project North_Draft report_11-Jun-24 v1.pptx</vt:lpwstr>
  </property>
  <property fmtid="{D5CDD505-2E9C-101B-9397-08002B2CF9AE}" pid="107" name="UpSlide_5001455883192.943184[DESTINATION]">
    <vt:lpwstr>Powerpoint, 4717</vt:lpwstr>
  </property>
  <property fmtid="{D5CDD505-2E9C-101B-9397-08002B2CF9AE}" pid="108" name="UpSlide_5001455883192.943184[PATH]">
    <vt:lpwstr>C:\Users\priyankaparihar\OneDrive - KPMG\Documents\Work\Projects\ADHOC\North\12-Jun-24\WIP\Project North_Draft report_11-Jun-24 v1.pptx</vt:lpwstr>
  </property>
  <property fmtid="{D5CDD505-2E9C-101B-9397-08002B2CF9AE}" pid="109" name="UpSlide_1749455883402.957515[DESTINATION]">
    <vt:lpwstr>Powerpoint, 897</vt:lpwstr>
  </property>
  <property fmtid="{D5CDD505-2E9C-101B-9397-08002B2CF9AE}" pid="110" name="UpSlide_1749455883402.957515[PATH]">
    <vt:lpwstr>C:\Users\priyankaparihar\OneDrive - KPMG\Documents\Work\Projects\ADHOC\North\12-Jun-24\WIP\Project North_Draft report_11-Jun-24 v1.pptx</vt:lpwstr>
  </property>
  <property fmtid="{D5CDD505-2E9C-101B-9397-08002B2CF9AE}" pid="111" name="UpSlide_7102455883473.82207[DESTINATION]">
    <vt:lpwstr>Powerpoint, 918</vt:lpwstr>
  </property>
  <property fmtid="{D5CDD505-2E9C-101B-9397-08002B2CF9AE}" pid="112" name="UpSlide_7102455883473.82207[PATH]">
    <vt:lpwstr>C:\Users\priyankaparihar\OneDrive - KPMG\Documents\Work\Projects\ADHOC\North\12-Jun-24\WIP\Project North_Draft report_11-Jun-24 v1.pptx</vt:lpwstr>
  </property>
  <property fmtid="{D5CDD505-2E9C-101B-9397-08002B2CF9AE}" pid="113" name="UpSlide_7049455883712.059311[DESTINATION]">
    <vt:lpwstr>Powerpoint, 4698</vt:lpwstr>
  </property>
  <property fmtid="{D5CDD505-2E9C-101B-9397-08002B2CF9AE}" pid="114" name="UpSlide_7049455883712.059311[PATH]">
    <vt:lpwstr>C:\Users\priyankaparihar\OneDrive - KPMG\Documents\Work\Projects\ADHOC\North\12-Jun-24\WIP\Project North_Draft report_11-Jun-24 v1.pptx</vt:lpwstr>
  </property>
  <property fmtid="{D5CDD505-2E9C-101B-9397-08002B2CF9AE}" pid="115" name="UpSlide_1868455883778.283589[DESTINATION]">
    <vt:lpwstr>Powerpoint, 4711</vt:lpwstr>
  </property>
  <property fmtid="{D5CDD505-2E9C-101B-9397-08002B2CF9AE}" pid="116" name="UpSlide_1868455883778.283589[PATH]">
    <vt:lpwstr>C:\Users\priyankaparihar\OneDrive - KPMG\Documents\Work\Projects\ADHOC\North\12-Jun-24\WIP\Project North_Draft report_11-Jun-24 v1.pptx</vt:lpwstr>
  </property>
  <property fmtid="{D5CDD505-2E9C-101B-9397-08002B2CF9AE}" pid="117" name="UpSlide_960455883838.347959[DESTINATION]">
    <vt:lpwstr>Powerpoint, 4711</vt:lpwstr>
  </property>
  <property fmtid="{D5CDD505-2E9C-101B-9397-08002B2CF9AE}" pid="118" name="UpSlide_960455883838.347959[PATH]">
    <vt:lpwstr>C:\Users\priyankaparihar\OneDrive - KPMG\Documents\Work\Projects\ADHOC\North\12-Jun-24\WIP\Project North_Draft report_11-Jun-24 v1.pptx</vt:lpwstr>
  </property>
  <property fmtid="{D5CDD505-2E9C-101B-9397-08002B2CF9AE}" pid="119" name="UpSlide_4243455883918.467318[DESTINATION]">
    <vt:lpwstr>Powerpoint, 4710</vt:lpwstr>
  </property>
  <property fmtid="{D5CDD505-2E9C-101B-9397-08002B2CF9AE}" pid="120" name="UpSlide_4243455883918.467318[PATH]">
    <vt:lpwstr>C:\Users\priyankaparihar\OneDrive - KPMG\Documents\Work\Projects\ADHOC\North\12-Jun-24\WIP\Project North_Draft report_11-Jun-24 v1.pptx</vt:lpwstr>
  </property>
  <property fmtid="{D5CDD505-2E9C-101B-9397-08002B2CF9AE}" pid="121" name="UpSlide_816455883974.175834[DESTINATION]">
    <vt:lpwstr>Powerpoint, 4712</vt:lpwstr>
  </property>
  <property fmtid="{D5CDD505-2E9C-101B-9397-08002B2CF9AE}" pid="122" name="UpSlide_816455883974.175834[PATH]">
    <vt:lpwstr>C:\Users\priyankaparihar\OneDrive - KPMG\Documents\Work\Projects\ADHOC\North\12-Jun-24\WIP\Project North_Draft report_11-Jun-24 v1.pptx</vt:lpwstr>
  </property>
  <property fmtid="{D5CDD505-2E9C-101B-9397-08002B2CF9AE}" pid="123" name="UpSlide_9979455884142.591518[DESTINATION]">
    <vt:lpwstr>Powerpoint, 4712</vt:lpwstr>
  </property>
  <property fmtid="{D5CDD505-2E9C-101B-9397-08002B2CF9AE}" pid="124" name="UpSlide_9979455884142.591518[PATH]">
    <vt:lpwstr>C:\Users\priyankaparihar\OneDrive - KPMG\Documents\Work\Projects\ADHOC\North\12-Jun-24\WIP\Project North_Draft report_11-Jun-24 v1.pptx</vt:lpwstr>
  </property>
  <property fmtid="{D5CDD505-2E9C-101B-9397-08002B2CF9AE}" pid="125" name="UpSlide_8420455884223.339899[DESTINATION]">
    <vt:lpwstr>Powerpoint, 4713</vt:lpwstr>
  </property>
  <property fmtid="{D5CDD505-2E9C-101B-9397-08002B2CF9AE}" pid="126" name="UpSlide_8420455884223.339899[PATH]">
    <vt:lpwstr>C:\Users\priyankaparihar\OneDrive - KPMG\Documents\Work\Projects\ADHOC\North\12-Jun-24\WIP\Project North_Draft report_11-Jun-24 v1.pptx</vt:lpwstr>
  </property>
  <property fmtid="{D5CDD505-2E9C-101B-9397-08002B2CF9AE}" pid="127" name="UpSlide_5254455884271.728316[DESTINATION]">
    <vt:lpwstr>Powerpoint, 4713</vt:lpwstr>
  </property>
  <property fmtid="{D5CDD505-2E9C-101B-9397-08002B2CF9AE}" pid="128" name="UpSlide_5254455884271.728316[PATH]">
    <vt:lpwstr>C:\Users\priyankaparihar\OneDrive - KPMG\Documents\Work\Projects\ADHOC\North\12-Jun-24\WIP\Project North_Draft report_11-Jun-24 v1.pptx</vt:lpwstr>
  </property>
  <property fmtid="{D5CDD505-2E9C-101B-9397-08002B2CF9AE}" pid="129" name="UpSlide_8458455884485.860153[DESTINATION]">
    <vt:lpwstr>Powerpoint, 4697</vt:lpwstr>
  </property>
  <property fmtid="{D5CDD505-2E9C-101B-9397-08002B2CF9AE}" pid="130" name="UpSlide_8458455884485.860153[PATH]">
    <vt:lpwstr>C:\Users\priyankaparihar\OneDrive - KPMG\Documents\Work\Projects\ADHOC\North\12-Jun-24\WIP\Project North_Draft report_11-Jun-24 v1.pptx</vt:lpwstr>
  </property>
  <property fmtid="{D5CDD505-2E9C-101B-9397-08002B2CF9AE}" pid="131" name="UpSlide_6640455886493.377921[DESTINATION]">
    <vt:lpwstr>Powerpoint, 886</vt:lpwstr>
  </property>
  <property fmtid="{D5CDD505-2E9C-101B-9397-08002B2CF9AE}" pid="132" name="UpSlide_6640455886493.377921[PATH]">
    <vt:lpwstr>C:\Users\priyankaparihar\OneDrive - KPMG\Documents\Work\Projects\ADHOC\North\12-Jun-24\WIP\Project North_Draft report_11-Jun-24 v1.pptx</vt:lpwstr>
  </property>
  <property fmtid="{D5CDD505-2E9C-101B-9397-08002B2CF9AE}" pid="133" name="UpSlide_3897455886681.925004[DESTINATION]">
    <vt:lpwstr>Powerpoint, 909</vt:lpwstr>
  </property>
  <property fmtid="{D5CDD505-2E9C-101B-9397-08002B2CF9AE}" pid="134" name="UpSlide_3897455886681.925004[PATH]">
    <vt:lpwstr>C:\Users\priyankaparihar\OneDrive - KPMG\Documents\Work\Projects\ADHOC\North\12-Jun-24\WIP\Project North_Draft report_11-Jun-24 v1.pptx</vt:lpwstr>
  </property>
  <property fmtid="{D5CDD505-2E9C-101B-9397-08002B2CF9AE}" pid="135" name="UpSlide_8095455886903.926697[DESTINATION]">
    <vt:lpwstr>Powerpoint, 912</vt:lpwstr>
  </property>
  <property fmtid="{D5CDD505-2E9C-101B-9397-08002B2CF9AE}" pid="136" name="UpSlide_8095455886903.926697[PATH]">
    <vt:lpwstr>C:\Users\priyankaparihar\OneDrive - KPMG\Documents\Work\Projects\ADHOC\North\12-Jun-24\WIP\Project North_Draft report_11-Jun-24 v1.pptx</vt:lpwstr>
  </property>
  <property fmtid="{D5CDD505-2E9C-101B-9397-08002B2CF9AE}" pid="137" name="UpSlide_3874455887361.732891[DESTINATION]">
    <vt:lpwstr>Powerpoint, 912</vt:lpwstr>
  </property>
  <property fmtid="{D5CDD505-2E9C-101B-9397-08002B2CF9AE}" pid="138" name="UpSlide_3874455887361.732891[PATH]">
    <vt:lpwstr>C:\Users\priyankaparihar\OneDrive - KPMG\Documents\Work\Projects\ADHOC\North\12-Jun-24\WIP\Project North_Draft report_11-Jun-24 v1.pptx</vt:lpwstr>
  </property>
  <property fmtid="{D5CDD505-2E9C-101B-9397-08002B2CF9AE}" pid="139" name="UpSlide_9796455900563.019806[DESTINATION]">
    <vt:lpwstr>Powerpoint, 4760</vt:lpwstr>
  </property>
  <property fmtid="{D5CDD505-2E9C-101B-9397-08002B2CF9AE}" pid="140" name="UpSlide_9796455900563.019806[PATH]">
    <vt:lpwstr>https://kpmgcan.sharepoint.com/sites/CA-KGSCanada-ProjectNorth/Shared Documents/Project North/Staff Files/Project North_Draft report_27-Jun-24.pptx</vt:lpwstr>
  </property>
  <property fmtid="{D5CDD505-2E9C-101B-9397-08002B2CF9AE}" pid="141" name="UpSlide_3642455902977.999003[DESTINATION]">
    <vt:lpwstr>Powerpoint, 926</vt:lpwstr>
  </property>
  <property fmtid="{D5CDD505-2E9C-101B-9397-08002B2CF9AE}" pid="142" name="UpSlide_3642455902977.999003[PATH]">
    <vt:lpwstr>https://kpmgcan.sharepoint.com/sites/CA-KGSCanada-ProjectNorth/Shared Documents/Project North/Staff Files/Project North_Draft report_20-Jun-24.pptx</vt:lpwstr>
  </property>
  <property fmtid="{D5CDD505-2E9C-101B-9397-08002B2CF9AE}" pid="143" name="UpSlide_8339455907685.712179[DESTINATION]">
    <vt:lpwstr>Powerpoint, 4758</vt:lpwstr>
  </property>
  <property fmtid="{D5CDD505-2E9C-101B-9397-08002B2CF9AE}" pid="144" name="UpSlide_8339455907685.712179[PATH]">
    <vt:lpwstr>https://kpmgcan.sharepoint.com/sites/CA-KGSCanada-ProjectNorth/Shared Documents/Project North/Staff Files/Project North_Draft report_20-Jun-24.pptx</vt:lpwstr>
  </property>
  <property fmtid="{D5CDD505-2E9C-101B-9397-08002B2CF9AE}" pid="145" name="UpSlide_8737455910391.890918[DESTINATION]">
    <vt:lpwstr>Powerpoint, 4742</vt:lpwstr>
  </property>
  <property fmtid="{D5CDD505-2E9C-101B-9397-08002B2CF9AE}" pid="146" name="UpSlide_8737455910391.890918[PATH]">
    <vt:lpwstr>https://kpmgcan.sharepoint.com/sites/CA-KGSCanada-ProjectNorth/Shared Documents/Project North/Staff Files/Project North_Draft report_17-Jun-24.pptx</vt:lpwstr>
  </property>
  <property fmtid="{D5CDD505-2E9C-101B-9397-08002B2CF9AE}" pid="147" name="UpSlide_3638455912472.227542[DESTINATION]">
    <vt:lpwstr>Powerpoint, 4694</vt:lpwstr>
  </property>
  <property fmtid="{D5CDD505-2E9C-101B-9397-08002B2CF9AE}" pid="148" name="UpSlide_3638455912472.227542[PATH]">
    <vt:lpwstr>https://kpmgcan.sharepoint.com/sites/CA-KGSCanada-ProjectNorth/Shared Documents/Project North/Staff Files/Project North_Draft report_10-Jul-24.pptx</vt:lpwstr>
  </property>
  <property fmtid="{D5CDD505-2E9C-101B-9397-08002B2CF9AE}" pid="149" name="UpSlide_2878455912644.499085[DESTINATION]">
    <vt:lpwstr>Powerpoint, 909</vt:lpwstr>
  </property>
  <property fmtid="{D5CDD505-2E9C-101B-9397-08002B2CF9AE}" pid="150" name="UpSlide_2878455912644.499085[PATH]">
    <vt:lpwstr>https://kpmgcan.sharepoint.com/sites/CA-KGSCanada-ProjectNorth/Shared Documents/Project North/Staff Files/Project North_Draft report_12-Jun-24.pptx</vt:lpwstr>
  </property>
  <property fmtid="{D5CDD505-2E9C-101B-9397-08002B2CF9AE}" pid="151" name="UpSlide_8541455912744.233086[DESTINATION]">
    <vt:lpwstr>Powerpoint, 909</vt:lpwstr>
  </property>
  <property fmtid="{D5CDD505-2E9C-101B-9397-08002B2CF9AE}" pid="152" name="UpSlide_8541455912744.233086[PATH]">
    <vt:lpwstr>https://kpmgcan.sharepoint.com/sites/CA-KGSCanada-ProjectNorth/Shared Documents/Project North/Staff Files/Project North_Draft report_12-Jun-24.pptx</vt:lpwstr>
  </property>
  <property fmtid="{D5CDD505-2E9C-101B-9397-08002B2CF9AE}" pid="153" name="UpSlide_6534455912982.128263[DESTINATION]">
    <vt:lpwstr>Powerpoint, 4759</vt:lpwstr>
  </property>
  <property fmtid="{D5CDD505-2E9C-101B-9397-08002B2CF9AE}" pid="154" name="UpSlide_6534455912982.128263[PATH]">
    <vt:lpwstr>https://kpmgcan.sharepoint.com/sites/CA-KGSCanada-ProjectNorth/Shared Documents/Project North/Staff Files/Project North_Draft report_20-Jun-24.pptx</vt:lpwstr>
  </property>
  <property fmtid="{D5CDD505-2E9C-101B-9397-08002B2CF9AE}" pid="155" name="UpSlide_6783455913106.084779[DESTINATION]">
    <vt:lpwstr>Powerpoint, 4773</vt:lpwstr>
  </property>
  <property fmtid="{D5CDD505-2E9C-101B-9397-08002B2CF9AE}" pid="156" name="UpSlide_6783455913106.084779[PATH]">
    <vt:lpwstr>https://kpmgcan.sharepoint.com/sites/CA-KGSCanada-ProjectNorth/Shared Documents/Project North/Staff Files/Project North_Draft report_28-Jun-24.pptx</vt:lpwstr>
  </property>
  <property fmtid="{D5CDD505-2E9C-101B-9397-08002B2CF9AE}" pid="157" name="UpSlide_6334455913722.385645[DESTINATION]">
    <vt:lpwstr>Powerpoint, 4760</vt:lpwstr>
  </property>
  <property fmtid="{D5CDD505-2E9C-101B-9397-08002B2CF9AE}" pid="158" name="UpSlide_6334455913722.385645[PATH]">
    <vt:lpwstr>https://kpmgcan.sharepoint.com/sites/CA-KGSCanada-ProjectNorth/Shared Documents/Project North/Staff Files/Project North_Draft report_14-Jun-24.pptx</vt:lpwstr>
  </property>
  <property fmtid="{D5CDD505-2E9C-101B-9397-08002B2CF9AE}" pid="159" name="UpSlide_6642455914426.341193[DESTINATION]">
    <vt:lpwstr>Powerpoint, 4760</vt:lpwstr>
  </property>
  <property fmtid="{D5CDD505-2E9C-101B-9397-08002B2CF9AE}" pid="160" name="UpSlide_6642455914426.341193[PATH]">
    <vt:lpwstr>https://kpmgcan.sharepoint.com/sites/CA-KGSCanada-ProjectNorth/Shared Documents/Project North/Staff Files/Project North_Draft report_14-Jun-24.pptx</vt:lpwstr>
  </property>
  <property fmtid="{D5CDD505-2E9C-101B-9397-08002B2CF9AE}" pid="161" name="UpSlide_7039455915981.063776[DESTINATION]">
    <vt:lpwstr>Powerpoint, 4746</vt:lpwstr>
  </property>
  <property fmtid="{D5CDD505-2E9C-101B-9397-08002B2CF9AE}" pid="162" name="UpSlide_7039455915981.063776[PATH]">
    <vt:lpwstr>https://kpmgcan.sharepoint.com/sites/CA-KGSCanada-ProjectNorth/Shared Documents/Project North/Staff Files/Project North_Draft report_12-Jun-24.pptx</vt:lpwstr>
  </property>
  <property fmtid="{D5CDD505-2E9C-101B-9397-08002B2CF9AE}" pid="163" name="UpSlide_8847455916255.030769[DESTINATION]">
    <vt:lpwstr>Powerpoint, 912</vt:lpwstr>
  </property>
  <property fmtid="{D5CDD505-2E9C-101B-9397-08002B2CF9AE}" pid="164" name="UpSlide_8847455916255.030769[PATH]">
    <vt:lpwstr>C:\Users\arushi1\Documents\my projects\ongoing\North\JUn 19\Project North_Draft report_18-Jun-24.pptx</vt:lpwstr>
  </property>
  <property fmtid="{D5CDD505-2E9C-101B-9397-08002B2CF9AE}" pid="165" name="UpSlide_4458455916378.264466[DESTINATION]">
    <vt:lpwstr>Powerpoint, 912</vt:lpwstr>
  </property>
  <property fmtid="{D5CDD505-2E9C-101B-9397-08002B2CF9AE}" pid="166" name="UpSlide_4458455916378.264466[PATH]">
    <vt:lpwstr>https://kpmgcan.sharepoint.com/sites/CA-KGSCanada-ProjectNorth/Shared Documents/Project North/Staff Files/Project North_Draft report_12-Jun-24.pptx</vt:lpwstr>
  </property>
  <property fmtid="{D5CDD505-2E9C-101B-9397-08002B2CF9AE}" pid="167" name="UpSlide_7090455916402.160618[DESTINATION]">
    <vt:lpwstr>Powerpoint, 912</vt:lpwstr>
  </property>
  <property fmtid="{D5CDD505-2E9C-101B-9397-08002B2CF9AE}" pid="168" name="UpSlide_7090455916402.160618[PATH]">
    <vt:lpwstr>https://kpmgcan.sharepoint.com/sites/CA-KGSCanada-ProjectNorth/Shared Documents/Project North/Staff Files/Project North_Draft report_12-Jun-24.pptx</vt:lpwstr>
  </property>
  <property fmtid="{D5CDD505-2E9C-101B-9397-08002B2CF9AE}" pid="169" name="UpSlide_4391455916533.645626[DESTINATION]">
    <vt:lpwstr>Powerpoint, 4761</vt:lpwstr>
  </property>
  <property fmtid="{D5CDD505-2E9C-101B-9397-08002B2CF9AE}" pid="170" name="UpSlide_4391455916533.645626[PATH]">
    <vt:lpwstr>https://kpmgcan.sharepoint.com/sites/CA-KGSCanada-ProjectNorth/Shared Documents/Project North/Staff Files/Project North_Draft report_14-Jun-24.pptx</vt:lpwstr>
  </property>
  <property fmtid="{D5CDD505-2E9C-101B-9397-08002B2CF9AE}" pid="171" name="UpSlide_8353456009377.884982[DESTINATION]">
    <vt:lpwstr>Powerpoint, 4749</vt:lpwstr>
  </property>
  <property fmtid="{D5CDD505-2E9C-101B-9397-08002B2CF9AE}" pid="172" name="UpSlide_8353456009377.884982[PATH]">
    <vt:lpwstr>https://kpmgcan.sharepoint.com/sites/CA-KGSCanada-ProjectNorth/Shared Documents/Project North/Staff Files/Project North_Draft report_14-Jun-24.pptx</vt:lpwstr>
  </property>
  <property fmtid="{D5CDD505-2E9C-101B-9397-08002B2CF9AE}" pid="173" name="UpSlide_8396456010132.831278[DESTINATION]">
    <vt:lpwstr>Powerpoint, 926</vt:lpwstr>
  </property>
  <property fmtid="{D5CDD505-2E9C-101B-9397-08002B2CF9AE}" pid="174" name="UpSlide_8396456010132.831278[PATH]">
    <vt:lpwstr>https://kpmgcan.sharepoint.com/sites/CA-KGSCanada-ProjectNorth/Shared Documents/Project North/Staff Files/Project North_Draft report_20-Jun-24.pptx</vt:lpwstr>
  </property>
  <property fmtid="{D5CDD505-2E9C-101B-9397-08002B2CF9AE}" pid="175" name="UpSlide_1119456016671.759474[DESTINATION]">
    <vt:lpwstr>Powerpoint, 874</vt:lpwstr>
  </property>
  <property fmtid="{D5CDD505-2E9C-101B-9397-08002B2CF9AE}" pid="176" name="UpSlide_1119456016671.759474[PATH]">
    <vt:lpwstr>https://kpmgcan.sharepoint.com/sites/CA-KGSCanada-ProjectNorth/Shared Documents/Project North/Staff Files/Project North_(Jun-24) RF Draft report_23-Jul-24.pptx</vt:lpwstr>
  </property>
  <property fmtid="{D5CDD505-2E9C-101B-9397-08002B2CF9AE}" pid="177" name="UpSlide_3828456025015.869228[DESTINATION]">
    <vt:lpwstr>Powerpoint, 4749</vt:lpwstr>
  </property>
  <property fmtid="{D5CDD505-2E9C-101B-9397-08002B2CF9AE}" pid="178" name="UpSlide_3828456025015.869228[PATH]">
    <vt:lpwstr>https://kpmgcan.sharepoint.com/sites/CA-KGSCanada-ProjectNorth/Shared Documents/Project North/Staff Files/Project North_Draft report_24-Jun-24.pptx</vt:lpwstr>
  </property>
  <property fmtid="{D5CDD505-2E9C-101B-9397-08002B2CF9AE}" pid="179" name="UpSlide_4168456025104.129237[DESTINATION]">
    <vt:lpwstr>Powerpoint, 4742</vt:lpwstr>
  </property>
  <property fmtid="{D5CDD505-2E9C-101B-9397-08002B2CF9AE}" pid="180" name="UpSlide_4168456025104.129237[PATH]">
    <vt:lpwstr>https://kpmgcan.sharepoint.com/sites/CA-KGSCanada-ProjectNorth/Shared Documents/Project North/Staff Files/Project North_Draft report_14-Jun-24.pptx</vt:lpwstr>
  </property>
  <property fmtid="{D5CDD505-2E9C-101B-9397-08002B2CF9AE}" pid="181" name="UpSlide_5316456026345.587209[DESTINATION]">
    <vt:lpwstr>Powerpoint, 4747</vt:lpwstr>
  </property>
  <property fmtid="{D5CDD505-2E9C-101B-9397-08002B2CF9AE}" pid="182" name="UpSlide_5316456026345.587209[PATH]">
    <vt:lpwstr>https://kpmgcan.sharepoint.com/sites/CA-KGSCanada-ProjectNorth/Shared Documents/Project North/Staff Files/Project North_Draft report_24-Jun-24.pptx</vt:lpwstr>
  </property>
  <property fmtid="{D5CDD505-2E9C-101B-9397-08002B2CF9AE}" pid="183" name="UpSlide_6184456027387.97523[DESTINATION]">
    <vt:lpwstr>Powerpoint, 4747</vt:lpwstr>
  </property>
  <property fmtid="{D5CDD505-2E9C-101B-9397-08002B2CF9AE}" pid="184" name="UpSlide_6184456027387.97523[PATH]">
    <vt:lpwstr>https://kpmgcan.sharepoint.com/sites/CA-KGSCanada-ProjectNorth/Shared Documents/Project North/Staff Files/Project North_Draft report_24-Jun-24.pptx</vt:lpwstr>
  </property>
  <property fmtid="{D5CDD505-2E9C-101B-9397-08002B2CF9AE}" pid="185" name="UpSlide_1502456028272.036038[DESTINATION]">
    <vt:lpwstr>Powerpoint, 4753</vt:lpwstr>
  </property>
  <property fmtid="{D5CDD505-2E9C-101B-9397-08002B2CF9AE}" pid="186" name="UpSlide_1502456028272.036038[PATH]">
    <vt:lpwstr>https://kpmgcan.sharepoint.com/sites/CA-KGSCanada-ProjectNorth/Shared Documents/Project North/Staff Files/Project North_Draft report_14-Jun-24.pptx</vt:lpwstr>
  </property>
  <property fmtid="{D5CDD505-2E9C-101B-9397-08002B2CF9AE}" pid="187" name="UpSlide_9444456029207.617559[DESTINATION]">
    <vt:lpwstr>Powerpoint, 4754</vt:lpwstr>
  </property>
  <property fmtid="{D5CDD505-2E9C-101B-9397-08002B2CF9AE}" pid="188" name="UpSlide_9444456029207.617559[PATH]">
    <vt:lpwstr>https://kpmgcan.sharepoint.com/sites/CA-KGSCanada-ProjectNorth/Shared Documents/Project North/Staff Files/Project North_Draft report_13-Jun-24 .pptx</vt:lpwstr>
  </property>
  <property fmtid="{D5CDD505-2E9C-101B-9397-08002B2CF9AE}" pid="189" name="UpSlide_451456029235.957318[DESTINATION]">
    <vt:lpwstr>Powerpoint, 4753</vt:lpwstr>
  </property>
  <property fmtid="{D5CDD505-2E9C-101B-9397-08002B2CF9AE}" pid="190" name="UpSlide_451456029235.957318[PATH]">
    <vt:lpwstr>https://kpmgcan.sharepoint.com/sites/CA-KGSCanada-ProjectNorth/Shared Documents/Project North/Staff Files/Project North_Draft report_14-Jun-24.pptx</vt:lpwstr>
  </property>
  <property fmtid="{D5CDD505-2E9C-101B-9397-08002B2CF9AE}" pid="191" name="UpSlide_925456030335.400969[DESTINATION]">
    <vt:lpwstr>Powerpoint, 4753</vt:lpwstr>
  </property>
  <property fmtid="{D5CDD505-2E9C-101B-9397-08002B2CF9AE}" pid="192" name="UpSlide_925456030335.400969[PATH]">
    <vt:lpwstr>https://kpmgcan.sharepoint.com/sites/CA-KGSCanada-ProjectNorth/Shared Documents/Project North/Staff Files/Project North_Draft report_24-Jun-24.pptx</vt:lpwstr>
  </property>
  <property fmtid="{D5CDD505-2E9C-101B-9397-08002B2CF9AE}" pid="193" name="UpSlide_4089456033170.815999[DESTINATION]">
    <vt:lpwstr>Powerpoint, 4755</vt:lpwstr>
  </property>
  <property fmtid="{D5CDD505-2E9C-101B-9397-08002B2CF9AE}" pid="194" name="UpSlide_4089456033170.815999[PATH]">
    <vt:lpwstr>https://kpmgcan.sharepoint.com/sites/CA-KGSCanada-ProjectNorth/Shared Documents/Project North/Staff Files/Project North_Draft report_24-Jun-24.pptx</vt:lpwstr>
  </property>
  <property fmtid="{D5CDD505-2E9C-101B-9397-08002B2CF9AE}" pid="195" name="UpSlide_2020456034331.49979[DESTINATION]">
    <vt:lpwstr>Powerpoint, 4755</vt:lpwstr>
  </property>
  <property fmtid="{D5CDD505-2E9C-101B-9397-08002B2CF9AE}" pid="196" name="UpSlide_2020456034331.49979[PATH]">
    <vt:lpwstr>https://kpmgcan.sharepoint.com/sites/CA-KGSCanada-ProjectNorth/Shared Documents/Project North/Staff Files/Project North_Draft report_24-Jun-24.pptx</vt:lpwstr>
  </property>
  <property fmtid="{D5CDD505-2E9C-101B-9397-08002B2CF9AE}" pid="197" name="UpSlide_9249456034553.633474[DESTINATION]">
    <vt:lpwstr>Powerpoint, 4757</vt:lpwstr>
  </property>
  <property fmtid="{D5CDD505-2E9C-101B-9397-08002B2CF9AE}" pid="198" name="UpSlide_9249456034553.633474[PATH]">
    <vt:lpwstr>https://kpmgcan.sharepoint.com/sites/CA-KGSCanada-ProjectNorth/Shared Documents/Project North/Staff Files/Project North_Draft report_17-Jun-24.pptx</vt:lpwstr>
  </property>
  <property fmtid="{D5CDD505-2E9C-101B-9397-08002B2CF9AE}" pid="199" name="UpSlide_3013456063015.833213[DESTINATION]">
    <vt:lpwstr>Powerpoint, 4757</vt:lpwstr>
  </property>
  <property fmtid="{D5CDD505-2E9C-101B-9397-08002B2CF9AE}" pid="200" name="UpSlide_3013456063015.833213[PATH]">
    <vt:lpwstr>https://kpmgcan.sharepoint.com/sites/CA-KGSCanada-ProjectNorth/Shared Documents/Project North/Staff Files/Project North_Draft report_20-Jun-24.pptx</vt:lpwstr>
  </property>
  <property fmtid="{D5CDD505-2E9C-101B-9397-08002B2CF9AE}" pid="201" name="UpSlide_5909456064889.761654[DESTINATION]">
    <vt:lpwstr>Powerpoint, 4762</vt:lpwstr>
  </property>
  <property fmtid="{D5CDD505-2E9C-101B-9397-08002B2CF9AE}" pid="202" name="UpSlide_5909456064889.761654[PATH]">
    <vt:lpwstr>https://kpmgcan.sharepoint.com/sites/CA-KGSCanada-ProjectNorth/Shared Documents/Project North/Staff Files/Project North_Draft report_14-Jun-24.pptx</vt:lpwstr>
  </property>
  <property fmtid="{D5CDD505-2E9C-101B-9397-08002B2CF9AE}" pid="203" name="UpSlide_6547456065769.276456[DESTINATION]">
    <vt:lpwstr>Powerpoint, 4763</vt:lpwstr>
  </property>
  <property fmtid="{D5CDD505-2E9C-101B-9397-08002B2CF9AE}" pid="204" name="UpSlide_6547456065769.276456[PATH]">
    <vt:lpwstr>https://kpmgcan.sharepoint.com/sites/CA-KGSCanada-ProjectNorth/Shared Documents/Project North/Staff Files/Project North_Draft report_14-Jun-24.pptx</vt:lpwstr>
  </property>
  <property fmtid="{D5CDD505-2E9C-101B-9397-08002B2CF9AE}" pid="205" name="UpSlide_439456065917.537741[DESTINATION]">
    <vt:lpwstr>Powerpoint, 4764</vt:lpwstr>
  </property>
  <property fmtid="{D5CDD505-2E9C-101B-9397-08002B2CF9AE}" pid="206" name="UpSlide_439456065917.537741[PATH]">
    <vt:lpwstr>C:\Users\arushi1\Documents\my projects\ongoing\North\Jun 14\Project North_Draft report_13-Jun-24 .pptx</vt:lpwstr>
  </property>
  <property fmtid="{D5CDD505-2E9C-101B-9397-08002B2CF9AE}" pid="207" name="UpSlide_5809456065950.38587[DESTINATION]">
    <vt:lpwstr>Powerpoint, 4764</vt:lpwstr>
  </property>
  <property fmtid="{D5CDD505-2E9C-101B-9397-08002B2CF9AE}" pid="208" name="UpSlide_5809456065950.38587[PATH]">
    <vt:lpwstr>https://kpmgcan.sharepoint.com/sites/CA-KGSCanada-ProjectNorth/Shared Documents/Project North/Staff Files/Project North_Draft report_20-Jun-24.pptx</vt:lpwstr>
  </property>
  <property fmtid="{D5CDD505-2E9C-101B-9397-08002B2CF9AE}" pid="209" name="UpSlide_4453456066150.658438[DESTINATION]">
    <vt:lpwstr>Powerpoint, 4764</vt:lpwstr>
  </property>
  <property fmtid="{D5CDD505-2E9C-101B-9397-08002B2CF9AE}" pid="210" name="UpSlide_4453456066150.658438[PATH]">
    <vt:lpwstr>https://kpmgcan.sharepoint.com/sites/CA-KGSCanada-ProjectNorth/Shared Documents/Project North/Staff Files/Project North_Draft report_20-Jun-24.pptx</vt:lpwstr>
  </property>
  <property fmtid="{D5CDD505-2E9C-101B-9397-08002B2CF9AE}" pid="211" name="UpSlide_12456066589.056641[DESTINATION]">
    <vt:lpwstr>Powerpoint, 4768</vt:lpwstr>
  </property>
  <property fmtid="{D5CDD505-2E9C-101B-9397-08002B2CF9AE}" pid="212" name="UpSlide_12456066589.056641[PATH]">
    <vt:lpwstr>https://kpmgcan.sharepoint.com/sites/CA-KGSCanada-ProjectNorth/Shared Documents/Project North/Staff Files/Project North_Draft report_14-Jun-24.pptx</vt:lpwstr>
  </property>
  <property fmtid="{D5CDD505-2E9C-101B-9397-08002B2CF9AE}" pid="213" name="UpSlide_7092456066838.016598[DESTINATION]">
    <vt:lpwstr>Powerpoint, 4768</vt:lpwstr>
  </property>
  <property fmtid="{D5CDD505-2E9C-101B-9397-08002B2CF9AE}" pid="214" name="UpSlide_7092456066838.016598[PATH]">
    <vt:lpwstr>https://kpmgcan.sharepoint.com/sites/CA-KGSCanada-ProjectNorth/Shared Documents/Project North/Staff Files/Project North_Draft report_24-Jun-24.pptx</vt:lpwstr>
  </property>
  <property fmtid="{D5CDD505-2E9C-101B-9397-08002B2CF9AE}" pid="215" name="UpSlide_561456067306.475098[DESTINATION]">
    <vt:lpwstr>Powerpoint, 4768</vt:lpwstr>
  </property>
  <property fmtid="{D5CDD505-2E9C-101B-9397-08002B2CF9AE}" pid="216" name="UpSlide_561456067306.475098[PATH]">
    <vt:lpwstr>https://kpmgcan.sharepoint.com/sites/CA-KGSCanada-ProjectNorth/Shared Documents/Project North/Staff Files/Project North_Draft report_26-Jun-24.pptx</vt:lpwstr>
  </property>
  <property fmtid="{D5CDD505-2E9C-101B-9397-08002B2CF9AE}" pid="217" name="UpSlide_1102456073377.55421[DESTINATION]">
    <vt:lpwstr>Powerpoint, 874</vt:lpwstr>
  </property>
  <property fmtid="{D5CDD505-2E9C-101B-9397-08002B2CF9AE}" pid="218" name="UpSlide_1102456073377.55421[PATH]">
    <vt:lpwstr>https://kpmgcan.sharepoint.com/sites/CA-KGSCanada-ProjectNorth/Shared Documents/Project North/Staff Files/Project North_Draft report_14-Jun-24.pptx</vt:lpwstr>
  </property>
  <property fmtid="{D5CDD505-2E9C-101B-9397-08002B2CF9AE}" pid="219" name="UpSlide_1604456074366.221811[DESTINATION]">
    <vt:lpwstr>Powerpoint, 4763</vt:lpwstr>
  </property>
  <property fmtid="{D5CDD505-2E9C-101B-9397-08002B2CF9AE}" pid="220" name="UpSlide_1604456074366.221811[PATH]">
    <vt:lpwstr>https://kpmgcan.sharepoint.com/sites/CA-KGSCanada-ProjectNorth/Shared Documents/Project North/Staff Files/Project North_Draft report_14-Jun-24.pptx</vt:lpwstr>
  </property>
  <property fmtid="{D5CDD505-2E9C-101B-9397-08002B2CF9AE}" pid="221" name="UpSlide_3073456331643.517452[DESTINATION]">
    <vt:lpwstr>Powerpoint, 916</vt:lpwstr>
  </property>
  <property fmtid="{D5CDD505-2E9C-101B-9397-08002B2CF9AE}" pid="222" name="UpSlide_3073456331643.517452[PATH]">
    <vt:lpwstr>https://kpmgcan.sharepoint.com/sites/CA-KGSCanada-ProjectNorth/Shared Documents/Project North/Staff Files/Project North_(Jun-24) RF Draft report_23-Jul-24.pptx</vt:lpwstr>
  </property>
  <property fmtid="{D5CDD505-2E9C-101B-9397-08002B2CF9AE}" pid="223" name="UpSlide_306456331745.077004[DESTINATION]">
    <vt:lpwstr>Powerpoint, 916</vt:lpwstr>
  </property>
  <property fmtid="{D5CDD505-2E9C-101B-9397-08002B2CF9AE}" pid="224" name="UpSlide_306456331745.077004[PATH]">
    <vt:lpwstr>https://kpmgcan.sharepoint.com/sites/CA-KGSCanada-ProjectNorth/Shared Documents/Project North/Staff Files/Project North_Draft report_10-Jul-24.pptx</vt:lpwstr>
  </property>
  <property fmtid="{D5CDD505-2E9C-101B-9397-08002B2CF9AE}" pid="225" name="UpSlide_1379456332002.359629[DESTINATION]">
    <vt:lpwstr>Powerpoint, 916</vt:lpwstr>
  </property>
  <property fmtid="{D5CDD505-2E9C-101B-9397-08002B2CF9AE}" pid="226" name="UpSlide_1379456332002.359629[PATH]">
    <vt:lpwstr>https://kpmgcan.sharepoint.com/sites/CA-KGSCanada-ProjectNorth/Shared Documents/Project North/Staff Files/Project North_Draft report_11-Jul-24.pptx</vt:lpwstr>
  </property>
  <property fmtid="{D5CDD505-2E9C-101B-9397-08002B2CF9AE}" pid="227" name="UpSlide_1643456343918.090083[DESTINATION]">
    <vt:lpwstr>Powerpoint, 4769</vt:lpwstr>
  </property>
  <property fmtid="{D5CDD505-2E9C-101B-9397-08002B2CF9AE}" pid="228" name="UpSlide_1643456343918.090083[PATH]">
    <vt:lpwstr>C:\Users\arushi1\Documents\my projects\ongoing\North\JUn 19\Project North_Draft report_18-Jun-24.pptx</vt:lpwstr>
  </property>
  <property fmtid="{D5CDD505-2E9C-101B-9397-08002B2CF9AE}" pid="229" name="UpSlide_2709456354959.773099[DESTINATION]">
    <vt:lpwstr>Powerpoint, 4751</vt:lpwstr>
  </property>
  <property fmtid="{D5CDD505-2E9C-101B-9397-08002B2CF9AE}" pid="230" name="UpSlide_2709456354959.773099[PATH]">
    <vt:lpwstr>https://kpmgcan.sharepoint.com/sites/CA-KGSCanada-ProjectNorth/Shared Documents/Project North/Staff Files/Project North_(Jun-24) RF Draft report_31-Jul-24.pptx</vt:lpwstr>
  </property>
  <property fmtid="{D5CDD505-2E9C-101B-9397-08002B2CF9AE}" pid="231" name="UpSlide_2393456373724.700018[DESTINATION]">
    <vt:lpwstr>Powerpoint, 911</vt:lpwstr>
  </property>
  <property fmtid="{D5CDD505-2E9C-101B-9397-08002B2CF9AE}" pid="232" name="UpSlide_2393456373724.700018[PATH]">
    <vt:lpwstr>https://kpmgcan.sharepoint.com/sites/CA-KGSCanada-ProjectNorth/Shared Documents/Project North/Staff Files/Project North_Draft report_20-Jun-24.pptx</vt:lpwstr>
  </property>
  <property fmtid="{D5CDD505-2E9C-101B-9397-08002B2CF9AE}" pid="233" name="UpSlide_3632456377047.670149[DESTINATION]">
    <vt:lpwstr>Powerpoint, 4770</vt:lpwstr>
  </property>
  <property fmtid="{D5CDD505-2E9C-101B-9397-08002B2CF9AE}" pid="234" name="UpSlide_3632456377047.670149[PATH]">
    <vt:lpwstr>https://kpmgcan.sharepoint.com/sites/CA-KGSCanada-ProjectNorth/Shared Documents/Project North/Staff Files/Project North_Draft report_17-Jun-24.pptx</vt:lpwstr>
  </property>
  <property fmtid="{D5CDD505-2E9C-101B-9397-08002B2CF9AE}" pid="235" name="UpSlide_7271456415689.627203[DESTINATION]">
    <vt:lpwstr>Powerpoint, 4772</vt:lpwstr>
  </property>
  <property fmtid="{D5CDD505-2E9C-101B-9397-08002B2CF9AE}" pid="236" name="UpSlide_7271456415689.627203[PATH]">
    <vt:lpwstr>https://kpmgcan.sharepoint.com/sites/CA-KGSCanada-ProjectNorth/Shared Documents/Project North/Staff Files/Project North_Draft report_24-Jun-24.pptx</vt:lpwstr>
  </property>
  <property fmtid="{D5CDD505-2E9C-101B-9397-08002B2CF9AE}" pid="237" name="UpSlide_9347456416173.977365[DESTINATION]">
    <vt:lpwstr>Powerpoint, 4793</vt:lpwstr>
  </property>
  <property fmtid="{D5CDD505-2E9C-101B-9397-08002B2CF9AE}" pid="238" name="UpSlide_9347456416173.977365[PATH]">
    <vt:lpwstr>https://kpmgcan.sharepoint.com/sites/CA-KGSCanada-ProjectNorth/Shared Documents/Project North/Staff Files/Project North_Draft report_10-Jul-24.pptx</vt:lpwstr>
  </property>
  <property fmtid="{D5CDD505-2E9C-101B-9397-08002B2CF9AE}" pid="239" name="UpSlide_9667456418417.222109[DESTINATION]">
    <vt:lpwstr>Powerpoint, 4773</vt:lpwstr>
  </property>
  <property fmtid="{D5CDD505-2E9C-101B-9397-08002B2CF9AE}" pid="240" name="UpSlide_9667456418417.222109[PATH]">
    <vt:lpwstr>https://kpmgcan.sharepoint.com/sites/CA-KGSCanada-ProjectNorth/Shared Documents/Project North/Staff Files/Project North_Draft report_20-Jun-24.pptx</vt:lpwstr>
  </property>
  <property fmtid="{D5CDD505-2E9C-101B-9397-08002B2CF9AE}" pid="241" name="UpSlide_2814456424789.841904[DESTINATION]">
    <vt:lpwstr>Powerpoint, 1214</vt:lpwstr>
  </property>
  <property fmtid="{D5CDD505-2E9C-101B-9397-08002B2CF9AE}" pid="242" name="UpSlide_2814456424789.841904[PATH]">
    <vt:lpwstr>https://kpmgcan.sharepoint.com/sites/CA-KGSCanada-ProjectNorth/Shared Documents/Project North/Staff Files/Project North_Draft report_18-Jun-24.pptx</vt:lpwstr>
  </property>
  <property fmtid="{D5CDD505-2E9C-101B-9397-08002B2CF9AE}" pid="243" name="UpSlide_7421456453885.498373[DESTINATION]">
    <vt:lpwstr>Powerpoint, 4719</vt:lpwstr>
  </property>
  <property fmtid="{D5CDD505-2E9C-101B-9397-08002B2CF9AE}" pid="244" name="UpSlide_7421456453885.498373[PATH]">
    <vt:lpwstr>https://kpmgcan.sharepoint.com/sites/CA-KGSCanada-ProjectNorth/Shared Documents/Project North/Staff Files/Project North_(Jun-24) RF Draft report_02-Aug-24.pptx</vt:lpwstr>
  </property>
  <property fmtid="{D5CDD505-2E9C-101B-9397-08002B2CF9AE}" pid="245" name="UpSlide_4173456454587.928334[DESTINATION]">
    <vt:lpwstr>Powerpoint, 4780</vt:lpwstr>
  </property>
  <property fmtid="{D5CDD505-2E9C-101B-9397-08002B2CF9AE}" pid="246" name="UpSlide_4173456454587.928334[PATH]">
    <vt:lpwstr>https://kpmgcan.sharepoint.com/sites/CA-KGSCanada-ProjectNorth/Shared Documents/Project North/Staff Files/Project North_(Jun-24) RF Draft report_07-Aug-24.pptx</vt:lpwstr>
  </property>
  <property fmtid="{D5CDD505-2E9C-101B-9397-08002B2CF9AE}" pid="247" name="UpSlide_2587456454933.024681[DESTINATION]">
    <vt:lpwstr>Powerpoint, 4782</vt:lpwstr>
  </property>
  <property fmtid="{D5CDD505-2E9C-101B-9397-08002B2CF9AE}" pid="248" name="UpSlide_2587456454933.024681[PATH]">
    <vt:lpwstr>https://kpmgcan.sharepoint.com/sites/CA-KGSCanada-ProjectNorth/Shared Documents/Project North/Staff Files/Project North_Draft report_20-Jun-24.pptx</vt:lpwstr>
  </property>
  <property fmtid="{D5CDD505-2E9C-101B-9397-08002B2CF9AE}" pid="249" name="UpSlide_4439456455149.937591[DESTINATION]">
    <vt:lpwstr>Powerpoint, 4711</vt:lpwstr>
  </property>
  <property fmtid="{D5CDD505-2E9C-101B-9397-08002B2CF9AE}" pid="250" name="UpSlide_4439456455149.937591[PATH]">
    <vt:lpwstr>https://kpmgcan.sharepoint.com/sites/CA-KGSCanada-ProjectNorth/Shared Documents/Project North/Staff Files/Project North_Draft report_10-Jul-24.pptx</vt:lpwstr>
  </property>
  <property fmtid="{D5CDD505-2E9C-101B-9397-08002B2CF9AE}" pid="251" name="UpSlide_4263456455364.202695[DESTINATION]">
    <vt:lpwstr>Powerpoint, 4713</vt:lpwstr>
  </property>
  <property fmtid="{D5CDD505-2E9C-101B-9397-08002B2CF9AE}" pid="252" name="UpSlide_4263456455364.202695[PATH]">
    <vt:lpwstr>https://kpmgcan.sharepoint.com/sites/CA-KGSCanada-ProjectNorth/Shared Documents/Project North/Staff Files/Project North_Draft report_18-Jun-24.pptx</vt:lpwstr>
  </property>
  <property fmtid="{D5CDD505-2E9C-101B-9397-08002B2CF9AE}" pid="253" name="UpSlide_5773456455399.907411[DESTINATION]">
    <vt:lpwstr>Powerpoint, 4713</vt:lpwstr>
  </property>
  <property fmtid="{D5CDD505-2E9C-101B-9397-08002B2CF9AE}" pid="254" name="UpSlide_5773456455399.907411[PATH]">
    <vt:lpwstr>https://kpmgcan.sharepoint.com/sites/CA-KGSCanada-ProjectNorth/Shared Documents/Project North/Staff Files/Project North_Draft report_20-Jun-24.pptx</vt:lpwstr>
  </property>
  <property fmtid="{D5CDD505-2E9C-101B-9397-08002B2CF9AE}" pid="255" name="UpSlide_5582456455592.510763[DESTINATION]">
    <vt:lpwstr>Powerpoint, 919</vt:lpwstr>
  </property>
  <property fmtid="{D5CDD505-2E9C-101B-9397-08002B2CF9AE}" pid="256" name="UpSlide_5582456455592.510763[PATH]">
    <vt:lpwstr>https://kpmgcan.sharepoint.com/sites/CA-KGSCanada-ProjectNorth/Shared Documents/Project North/Staff Files/Project North_Draft report_20-Jun-24.pptx</vt:lpwstr>
  </property>
  <property fmtid="{D5CDD505-2E9C-101B-9397-08002B2CF9AE}" pid="257" name="UpSlide_613456456534.69128[DESTINATION]">
    <vt:lpwstr>Powerpoint, 4774</vt:lpwstr>
  </property>
  <property fmtid="{D5CDD505-2E9C-101B-9397-08002B2CF9AE}" pid="258" name="UpSlide_613456456534.69128[PATH]">
    <vt:lpwstr>https://kpmgcan.sharepoint.com/sites/CA-KGSCanada-ProjectNorth/Shared Documents/Project North/Staff Files/Project North_(Jun-24) RF Draft report_25-Jul-24.pptx</vt:lpwstr>
  </property>
  <property fmtid="{D5CDD505-2E9C-101B-9397-08002B2CF9AE}" pid="259" name="UpSlide_8189456456663.611805[DESTINATION]">
    <vt:lpwstr>Powerpoint, 4775</vt:lpwstr>
  </property>
  <property fmtid="{D5CDD505-2E9C-101B-9397-08002B2CF9AE}" pid="260" name="UpSlide_8189456456663.611805[PATH]">
    <vt:lpwstr>https://kpmgcan.sharepoint.com/sites/CA-KGSCanada-ProjectNorth/Shared Documents/Project North/Staff Files/Project North_Draft report_20-Jun-24.pptx</vt:lpwstr>
  </property>
  <property fmtid="{D5CDD505-2E9C-101B-9397-08002B2CF9AE}" pid="261" name="UpSlide_394456456836.59389[DESTINATION]">
    <vt:lpwstr>Powerpoint, 4775</vt:lpwstr>
  </property>
  <property fmtid="{D5CDD505-2E9C-101B-9397-08002B2CF9AE}" pid="262" name="UpSlide_394456456836.59389[PATH]">
    <vt:lpwstr>https://kpmgcan.sharepoint.com/sites/CA-KGSCanada-ProjectNorth/Shared Documents/Project North/Staff Files/Project North_Draft report_20-Jun-24.pptx</vt:lpwstr>
  </property>
  <property fmtid="{D5CDD505-2E9C-101B-9397-08002B2CF9AE}" pid="263" name="UpSlide_9808456457008.087525[DESTINATION]">
    <vt:lpwstr>Powerpoint, 4776</vt:lpwstr>
  </property>
  <property fmtid="{D5CDD505-2E9C-101B-9397-08002B2CF9AE}" pid="264" name="UpSlide_9808456457008.087525[PATH]">
    <vt:lpwstr>https://kpmgcan.sharepoint.com/sites/CA-KGSCanada-ProjectNorth/Shared Documents/Project North/Staff Files/Project North_Draft report_20-Jun-24.pptx</vt:lpwstr>
  </property>
  <property fmtid="{D5CDD505-2E9C-101B-9397-08002B2CF9AE}" pid="265" name="UpSlide_6533456457131.112734[DESTINATION]">
    <vt:lpwstr>Powerpoint, 4776</vt:lpwstr>
  </property>
  <property fmtid="{D5CDD505-2E9C-101B-9397-08002B2CF9AE}" pid="266" name="UpSlide_6533456457131.112734[PATH]">
    <vt:lpwstr>https://kpmgcan.sharepoint.com/sites/CA-KGSCanada-ProjectNorth/Shared Documents/Project North/Staff Files/Project North_Draft report_20-Jun-24.pptx</vt:lpwstr>
  </property>
  <property fmtid="{D5CDD505-2E9C-101B-9397-08002B2CF9AE}" pid="267" name="UpSlide_5744456457183.083366[DESTINATION]">
    <vt:lpwstr>Powerpoint, 4777</vt:lpwstr>
  </property>
  <property fmtid="{D5CDD505-2E9C-101B-9397-08002B2CF9AE}" pid="268" name="UpSlide_5744456457183.083366[PATH]">
    <vt:lpwstr>https://kpmgcan.sharepoint.com/sites/CA-KGSCanada-ProjectNorth/Shared Documents/Project North/Staff Files/Project North_Draft report_20-Jun-24.pptx</vt:lpwstr>
  </property>
  <property fmtid="{D5CDD505-2E9C-101B-9397-08002B2CF9AE}" pid="269" name="UpSlide_8156456457278.095482[DESTINATION]">
    <vt:lpwstr>Powerpoint, 4777</vt:lpwstr>
  </property>
  <property fmtid="{D5CDD505-2E9C-101B-9397-08002B2CF9AE}" pid="270" name="UpSlide_8156456457278.095482[PATH]">
    <vt:lpwstr>https://kpmgcan.sharepoint.com/sites/CA-KGSCanada-ProjectNorth/Shared Documents/Project North/Staff Files/Project North_Draft report_20-Jun-24.pptx</vt:lpwstr>
  </property>
  <property fmtid="{D5CDD505-2E9C-101B-9397-08002B2CF9AE}" pid="271" name="UpSlide_9551456457494.175425[DESTINATION]">
    <vt:lpwstr>Powerpoint, 4778</vt:lpwstr>
  </property>
  <property fmtid="{D5CDD505-2E9C-101B-9397-08002B2CF9AE}" pid="272" name="UpSlide_9551456457494.175425[PATH]">
    <vt:lpwstr>https://kpmgcan.sharepoint.com/sites/CA-KGSCanada-ProjectNorth/Shared Documents/Project North/Staff Files/Project North_Draft report_18-Jun-24.pptx</vt:lpwstr>
  </property>
  <property fmtid="{D5CDD505-2E9C-101B-9397-08002B2CF9AE}" pid="273" name="UpSlide_188456494620.911234[DESTINATION]">
    <vt:lpwstr>Powerpoint, 916</vt:lpwstr>
  </property>
  <property fmtid="{D5CDD505-2E9C-101B-9397-08002B2CF9AE}" pid="274" name="UpSlide_188456494620.911234[PATH]">
    <vt:lpwstr>C:\Users\arushi1\Documents\my projects\ongoing\North\Jun 19\Project North_Draft report_19-Jun-24_KGS.pptx</vt:lpwstr>
  </property>
  <property fmtid="{D5CDD505-2E9C-101B-9397-08002B2CF9AE}" pid="275" name="UpSlide_6510456499322.884378[DESTINATION]">
    <vt:lpwstr>Powerpoint, 4712</vt:lpwstr>
  </property>
  <property fmtid="{D5CDD505-2E9C-101B-9397-08002B2CF9AE}" pid="276" name="UpSlide_6510456499322.884378[PATH]">
    <vt:lpwstr>https://kpmgcan.sharepoint.com/sites/CA-KGSCanada-ProjectNorth/Shared Documents/Project North/Staff Files/Project North_Draft report_20-Jun-24.pptx</vt:lpwstr>
  </property>
  <property fmtid="{D5CDD505-2E9C-101B-9397-08002B2CF9AE}" pid="277" name="UpSlide_7968456511019.586891[DESTINATION]">
    <vt:lpwstr>Powerpoint, 792</vt:lpwstr>
  </property>
  <property fmtid="{D5CDD505-2E9C-101B-9397-08002B2CF9AE}" pid="278" name="UpSlide_7968456511019.586891[PATH]">
    <vt:lpwstr>https://kpmgcan.sharepoint.com/sites/CA-KGSCanada-ProjectNorth/Shared Documents/Project North/Staff Files/Project North_Draft report_20-Jun-24.pptx</vt:lpwstr>
  </property>
  <property fmtid="{D5CDD505-2E9C-101B-9397-08002B2CF9AE}" pid="279" name="UpSlide_9613456514217.060624[DESTINATION]">
    <vt:lpwstr>Powerpoint, 792</vt:lpwstr>
  </property>
  <property fmtid="{D5CDD505-2E9C-101B-9397-08002B2CF9AE}" pid="280" name="UpSlide_9613456514217.060624[PATH]">
    <vt:lpwstr>https://kpmgcan.sharepoint.com/sites/CA-KGSCanada-ProjectNorth/Shared Documents/Project North/Staff Files/Project North_Draft report_20-Jun-24.pptx</vt:lpwstr>
  </property>
  <property fmtid="{D5CDD505-2E9C-101B-9397-08002B2CF9AE}" pid="281" name="UpSlide_8364456522183.615719[DESTINATION]">
    <vt:lpwstr>Powerpoint, 792</vt:lpwstr>
  </property>
  <property fmtid="{D5CDD505-2E9C-101B-9397-08002B2CF9AE}" pid="282" name="UpSlide_8364456522183.615719[PATH]">
    <vt:lpwstr>https://kpmgcan.sharepoint.com/sites/CA-KGSCanada-ProjectNorth/Shared Documents/Project North/Staff Files/Project North_Draft report_19-Jun-24.pptx</vt:lpwstr>
  </property>
  <property fmtid="{D5CDD505-2E9C-101B-9397-08002B2CF9AE}" pid="283" name="UpSlide_3753456543246.398424[DESTINATION]">
    <vt:lpwstr>Powerpoint, 4772</vt:lpwstr>
  </property>
  <property fmtid="{D5CDD505-2E9C-101B-9397-08002B2CF9AE}" pid="284" name="UpSlide_3753456543246.398424[PATH]">
    <vt:lpwstr>https://kpmgcan.sharepoint.com/sites/CA-KGSCanada-ProjectNorth/Shared Documents/Project North/Staff Files/Project North_Draft report_24-Jun-24.pptx</vt:lpwstr>
  </property>
  <property fmtid="{D5CDD505-2E9C-101B-9397-08002B2CF9AE}" pid="285" name="UpSlide_9472456544429.188224[DESTINATION]">
    <vt:lpwstr>Powerpoint, 4769</vt:lpwstr>
  </property>
  <property fmtid="{D5CDD505-2E9C-101B-9397-08002B2CF9AE}" pid="286" name="UpSlide_9472456544429.188224[PATH]">
    <vt:lpwstr>https://kpmgcan.sharepoint.com/sites/CA-KGSCanada-ProjectNorth/Shared Documents/Project North/Staff Files/Project North_Draft report_19-Jun-24.pptx</vt:lpwstr>
  </property>
  <property fmtid="{D5CDD505-2E9C-101B-9397-08002B2CF9AE}" pid="287" name="UpSlide_77456548654.278178[DESTINATION]">
    <vt:lpwstr>Powerpoint, 796</vt:lpwstr>
  </property>
  <property fmtid="{D5CDD505-2E9C-101B-9397-08002B2CF9AE}" pid="288" name="UpSlide_77456548654.278178[PATH]">
    <vt:lpwstr>https://kpmgcan.sharepoint.com/sites/CA-KGSCanada-ProjectNorth/Shared Documents/Project North/Staff Files/Project North_Draft report_19-Jun-24.pptx</vt:lpwstr>
  </property>
  <property fmtid="{D5CDD505-2E9C-101B-9397-08002B2CF9AE}" pid="289" name="UpSlide_8310456587140.094589[DESTINATION]">
    <vt:lpwstr>Powerpoint, 886</vt:lpwstr>
  </property>
  <property fmtid="{D5CDD505-2E9C-101B-9397-08002B2CF9AE}" pid="290" name="UpSlide_8310456587140.094589[PATH]">
    <vt:lpwstr>https://kpmgcan.sharepoint.com/sites/CA-KGSCanada-ProjectNorth/Shared Documents/Project North/Staff Files/Project North_Draft report_20-Jun-24.pptx</vt:lpwstr>
  </property>
  <property fmtid="{D5CDD505-2E9C-101B-9397-08002B2CF9AE}" pid="291" name="UpSlide_8792456589855.36297[DESTINATION]">
    <vt:lpwstr>Powerpoint, 4734</vt:lpwstr>
  </property>
  <property fmtid="{D5CDD505-2E9C-101B-9397-08002B2CF9AE}" pid="292" name="UpSlide_8792456589855.36297[PATH]">
    <vt:lpwstr>https://kpmgcan.sharepoint.com/sites/CA-KGSCanada-ProjectNorth/Shared Documents/Project North/Staff Files/Project North_Draft report_10-Jul-24.pptx</vt:lpwstr>
  </property>
  <property fmtid="{D5CDD505-2E9C-101B-9397-08002B2CF9AE}" pid="293" name="UpSlide_5228456602986.019564[DESTINATION]">
    <vt:lpwstr>Powerpoint, 915</vt:lpwstr>
  </property>
  <property fmtid="{D5CDD505-2E9C-101B-9397-08002B2CF9AE}" pid="294" name="UpSlide_5228456602986.019564[PATH]">
    <vt:lpwstr>https://kpmgcan.sharepoint.com/sites/CA-KGSCanada-ProjectNorth/Shared Documents/Project North/Staff Files/Project North_Draft report_24-Jun-24.pptx</vt:lpwstr>
  </property>
  <property fmtid="{D5CDD505-2E9C-101B-9397-08002B2CF9AE}" pid="295" name="UpSlide_47456614728.503293[DESTINATION]">
    <vt:lpwstr>Powerpoint, 4785</vt:lpwstr>
  </property>
  <property fmtid="{D5CDD505-2E9C-101B-9397-08002B2CF9AE}" pid="296" name="UpSlide_47456614728.503293[PATH]">
    <vt:lpwstr>https://kpmgcan.sharepoint.com/sites/CA-KGSCanada-ProjectNorth/Shared Documents/Project North/Staff Files/Project North_(Jun-24) RF Draft report_15-Aug-24.pptx</vt:lpwstr>
  </property>
  <property fmtid="{D5CDD505-2E9C-101B-9397-08002B2CF9AE}" pid="297" name="UpSlide_5155456615136.060451[DESTINATION]">
    <vt:lpwstr>Powerpoint, 4783</vt:lpwstr>
  </property>
  <property fmtid="{D5CDD505-2E9C-101B-9397-08002B2CF9AE}" pid="298" name="UpSlide_5155456615136.060451[PATH]">
    <vt:lpwstr>https://kpmgcan.sharepoint.com/sites/CA-KGSCanada-ProjectNorth/Shared Documents/Project North/Staff Files/Project North_Draft report_28-Jun-24 vS.pptx</vt:lpwstr>
  </property>
  <property fmtid="{D5CDD505-2E9C-101B-9397-08002B2CF9AE}" pid="299" name="UpSlide_8220456615289.709762[DESTINATION]">
    <vt:lpwstr>Powerpoint, 4720</vt:lpwstr>
  </property>
  <property fmtid="{D5CDD505-2E9C-101B-9397-08002B2CF9AE}" pid="300" name="UpSlide_8220456615289.709762[PATH]">
    <vt:lpwstr>https://kpmgcan.sharepoint.com/sites/CA-KGSCanada-ProjectNorth/Shared Documents/Project North/Staff Files/Project North_Draft report_28-Jun-24 vS.pptx</vt:lpwstr>
  </property>
  <property fmtid="{D5CDD505-2E9C-101B-9397-08002B2CF9AE}" pid="301" name="UpSlide_7017456615419.493863[DESTINATION]">
    <vt:lpwstr>Powerpoint, 4716</vt:lpwstr>
  </property>
  <property fmtid="{D5CDD505-2E9C-101B-9397-08002B2CF9AE}" pid="302" name="UpSlide_7017456615419.493863[PATH]">
    <vt:lpwstr>https://kpmgcan.sharepoint.com/sites/CA-KGSCanada-ProjectNorth/Shared Documents/Project North/Staff Files/Project North_Draft report_28-Jun-24 vS.pptx</vt:lpwstr>
  </property>
  <property fmtid="{D5CDD505-2E9C-101B-9397-08002B2CF9AE}" pid="303" name="UpSlide_3669456615648.902427[DESTINATION]">
    <vt:lpwstr>Powerpoint, 4715</vt:lpwstr>
  </property>
  <property fmtid="{D5CDD505-2E9C-101B-9397-08002B2CF9AE}" pid="304" name="UpSlide_3669456615648.902427[PATH]">
    <vt:lpwstr>https://kpmgcan.sharepoint.com/sites/CA-KGSCanada-ProjectNorth/Shared Documents/Project North/Staff Files/Project North_Draft report_28-Jun-24 vS.pptx</vt:lpwstr>
  </property>
  <property fmtid="{D5CDD505-2E9C-101B-9397-08002B2CF9AE}" pid="305" name="UpSlide_6631456615848.349834[DESTINATION]">
    <vt:lpwstr>Powerpoint, 4721</vt:lpwstr>
  </property>
  <property fmtid="{D5CDD505-2E9C-101B-9397-08002B2CF9AE}" pid="306" name="UpSlide_6631456615848.349834[PATH]">
    <vt:lpwstr>https://kpmgcan.sharepoint.com/sites/CA-KGSCanada-ProjectNorth/Shared Documents/Project North/Staff Files/Project North_Draft report_11-Jul-24.pptx</vt:lpwstr>
  </property>
  <property fmtid="{D5CDD505-2E9C-101B-9397-08002B2CF9AE}" pid="307" name="UpSlide_5037456615913.392471[DESTINATION]">
    <vt:lpwstr>Powerpoint, 4718</vt:lpwstr>
  </property>
  <property fmtid="{D5CDD505-2E9C-101B-9397-08002B2CF9AE}" pid="308" name="UpSlide_5037456615913.392471[PATH]">
    <vt:lpwstr>https://kpmgcan.sharepoint.com/sites/CA-KGSCanada-ProjectNorth/Shared Documents/Project North/Staff Files/Project North_Draft report_28-Jun-24 vS.pptx</vt:lpwstr>
  </property>
  <property fmtid="{D5CDD505-2E9C-101B-9397-08002B2CF9AE}" pid="309" name="UpSlide_7366456616033.413823[DESTINATION]">
    <vt:lpwstr>Powerpoint, 4717</vt:lpwstr>
  </property>
  <property fmtid="{D5CDD505-2E9C-101B-9397-08002B2CF9AE}" pid="310" name="UpSlide_7366456616033.413823[PATH]">
    <vt:lpwstr>https://kpmgcan.sharepoint.com/sites/CA-KGSCanada-ProjectNorth/Shared Documents/Project North/Staff Files/Project North_Draft report_28-Jun-24 vS.pptx</vt:lpwstr>
  </property>
  <property fmtid="{D5CDD505-2E9C-101B-9397-08002B2CF9AE}" pid="311" name="UpSlide_7689456675497.931683[DESTINATION]">
    <vt:lpwstr>Powerpoint, 4796</vt:lpwstr>
  </property>
  <property fmtid="{D5CDD505-2E9C-101B-9397-08002B2CF9AE}" pid="312" name="UpSlide_7689456675497.931683[PATH]">
    <vt:lpwstr>https://kpmgcan.sharepoint.com/sites/CA-KGSCanada-ProjectNorth/Shared Documents/Project North/Staff Files/Project North_Draft report_10-Jul-24.pptx</vt:lpwstr>
  </property>
  <property fmtid="{D5CDD505-2E9C-101B-9397-08002B2CF9AE}" pid="313" name="UpSlide_8699456676003.862565[DESTINATION]">
    <vt:lpwstr>Powerpoint, 4796</vt:lpwstr>
  </property>
  <property fmtid="{D5CDD505-2E9C-101B-9397-08002B2CF9AE}" pid="314" name="UpSlide_8699456676003.862565[PATH]">
    <vt:lpwstr>https://kpmgcan.sharepoint.com/sites/CA-KGSCanada-ProjectNorth/Shared Documents/Project North/Staff Files/Project North_Draft report_10-Jul-24.pptx</vt:lpwstr>
  </property>
  <property fmtid="{D5CDD505-2E9C-101B-9397-08002B2CF9AE}" pid="315" name="UpSlide_2731456677350.415136[DESTINATION]">
    <vt:lpwstr>Powerpoint, 4796</vt:lpwstr>
  </property>
  <property fmtid="{D5CDD505-2E9C-101B-9397-08002B2CF9AE}" pid="316" name="UpSlide_2731456677350.415136[PATH]">
    <vt:lpwstr>https://kpmgcan.sharepoint.com/sites/CA-KGSCanada-ProjectNorth/Shared Documents/Project North/Staff Files/Project North_Draft report_10-Jul-24.pptx</vt:lpwstr>
  </property>
  <property fmtid="{D5CDD505-2E9C-101B-9397-08002B2CF9AE}" pid="317" name="UpSlide_380456678984.724335[DESTINATION]">
    <vt:lpwstr>Powerpoint, 4737</vt:lpwstr>
  </property>
  <property fmtid="{D5CDD505-2E9C-101B-9397-08002B2CF9AE}" pid="318" name="UpSlide_380456678984.724335[PATH]">
    <vt:lpwstr>https://kpmgcan.sharepoint.com/sites/CA-KGSCanada-ProjectNorth/Shared Documents/Project North/Staff Files/Archive/Project North_Draft report_10-Jul-24.pptx</vt:lpwstr>
  </property>
  <property fmtid="{D5CDD505-2E9C-101B-9397-08002B2CF9AE}" pid="319" name="UpSlide_2491456680022.035343[DESTINATION]">
    <vt:lpwstr>Powerpoint, 4793</vt:lpwstr>
  </property>
  <property fmtid="{D5CDD505-2E9C-101B-9397-08002B2CF9AE}" pid="320" name="UpSlide_2491456680022.035343[PATH]">
    <vt:lpwstr>https://kpmgcan.sharepoint.com/sites/CA-KGSCanada-ProjectNorth/Shared Documents/Project North/Staff Files/Project North_Draft report_20-Jun-24.pptx</vt:lpwstr>
  </property>
  <property fmtid="{D5CDD505-2E9C-101B-9397-08002B2CF9AE}" pid="321" name="UpSlide_8551456696469.753049[DESTINATION]">
    <vt:lpwstr>Powerpoint, 897</vt:lpwstr>
  </property>
  <property fmtid="{D5CDD505-2E9C-101B-9397-08002B2CF9AE}" pid="322" name="UpSlide_8551456696469.753049[PATH]">
    <vt:lpwstr>https://kpmgcan.sharepoint.com/sites/CA-KGSCanada-ProjectNorth/Shared Documents/Project North/Staff Files/Project North_Draft report_26-Jun-24.pptx</vt:lpwstr>
  </property>
  <property fmtid="{D5CDD505-2E9C-101B-9397-08002B2CF9AE}" pid="323" name="UpSlide_7613456953423.286336[DESTINATION]">
    <vt:lpwstr>Powerpoint, 918</vt:lpwstr>
  </property>
  <property fmtid="{D5CDD505-2E9C-101B-9397-08002B2CF9AE}" pid="324" name="UpSlide_7613456953423.286336[PATH]">
    <vt:lpwstr>https://kpmgcan.sharepoint.com/sites/CA-KGSCanada-ProjectNorth/Shared Documents/Project North/Staff Files/Project North_Draft report_26-Jun-24.pptx</vt:lpwstr>
  </property>
  <property fmtid="{D5CDD505-2E9C-101B-9397-08002B2CF9AE}" pid="325" name="UpSlide_3491457113311.140477[DESTINATION]">
    <vt:lpwstr>Powerpoint, 4768</vt:lpwstr>
  </property>
  <property fmtid="{D5CDD505-2E9C-101B-9397-08002B2CF9AE}" pid="326" name="UpSlide_3491457113311.140477[PATH]">
    <vt:lpwstr>https://kpmgcan.sharepoint.com/sites/CA-KGSCanada-ProjectNorth/Shared Documents/Project North/Staff Files/Project North_Draft report_26-Jun-24.pptx</vt:lpwstr>
  </property>
  <property fmtid="{D5CDD505-2E9C-101B-9397-08002B2CF9AE}" pid="327" name="UpSlide_9962457114028.033734[DESTINATION]">
    <vt:lpwstr>Powerpoint, 4772</vt:lpwstr>
  </property>
  <property fmtid="{D5CDD505-2E9C-101B-9397-08002B2CF9AE}" pid="328" name="UpSlide_9962457114028.033734[PATH]">
    <vt:lpwstr>https://kpmgcan.sharepoint.com/sites/CA-KGSCanada-ProjectNorth/Shared Documents/Project North/Staff Files/Project North_Draft report_26-Jun-24.pptx</vt:lpwstr>
  </property>
  <property fmtid="{D5CDD505-2E9C-101B-9397-08002B2CF9AE}" pid="329" name="UpSlide_5773457281352.121476[DESTINATION]">
    <vt:lpwstr>Powerpoint, 4775</vt:lpwstr>
  </property>
  <property fmtid="{D5CDD505-2E9C-101B-9397-08002B2CF9AE}" pid="330" name="UpSlide_5773457281352.121476[PATH]">
    <vt:lpwstr>https://kpmgcan.sharepoint.com/sites/CA-KGSCanada-ProjectNorth/Shared Documents/Project North/Staff Files/Project North_Draft report_28-Jun-24.pptx</vt:lpwstr>
  </property>
  <property fmtid="{D5CDD505-2E9C-101B-9397-08002B2CF9AE}" pid="331" name="UpSlide_8421458323137.03885[DESTINATION]">
    <vt:lpwstr>Powerpoint, 909</vt:lpwstr>
  </property>
  <property fmtid="{D5CDD505-2E9C-101B-9397-08002B2CF9AE}" pid="332" name="UpSlide_8421458323137.03885[PATH]">
    <vt:lpwstr>https://kpmgcan.sharepoint.com/sites/CA-KGSCanada-ProjectNorth/Shared Documents/Project North/Staff Files/Project North_Draft report_10-Jul-24.pptx</vt:lpwstr>
  </property>
  <property fmtid="{D5CDD505-2E9C-101B-9397-08002B2CF9AE}" pid="333" name="UpSlide_4156458330987.365124[DESTINATION]">
    <vt:lpwstr>Powerpoint, 4773</vt:lpwstr>
  </property>
  <property fmtid="{D5CDD505-2E9C-101B-9397-08002B2CF9AE}" pid="334" name="UpSlide_4156458330987.365124[PATH]">
    <vt:lpwstr>https://kpmgcan.sharepoint.com/sites/CA-KGSCanada-ProjectNorth/Shared Documents/Project North/Staff Files/Project North_Draft report_10-Jul-24.pptx</vt:lpwstr>
  </property>
  <property fmtid="{D5CDD505-2E9C-101B-9397-08002B2CF9AE}" pid="335" name="UpSlide_3803458331875.038211[DESTINATION]">
    <vt:lpwstr>Powerpoint, 911</vt:lpwstr>
  </property>
  <property fmtid="{D5CDD505-2E9C-101B-9397-08002B2CF9AE}" pid="336" name="UpSlide_3803458331875.038211[PATH]">
    <vt:lpwstr>https://kpmgcan.sharepoint.com/sites/CA-KGSCanada-ProjectNorth/Shared Documents/Project North/Staff Files/Project North_Draft report_10-Jul-24.pptx</vt:lpwstr>
  </property>
  <property fmtid="{D5CDD505-2E9C-101B-9397-08002B2CF9AE}" pid="337" name="UpSlide_5814458332054.708936[DESTINATION]">
    <vt:lpwstr>Powerpoint, 4772</vt:lpwstr>
  </property>
  <property fmtid="{D5CDD505-2E9C-101B-9397-08002B2CF9AE}" pid="338" name="UpSlide_5814458332054.708936[PATH]">
    <vt:lpwstr>https://kpmgcan.sharepoint.com/sites/CA-KGSCanada-ProjectNorth/Shared Documents/Project North/Staff Files/Project North_Draft report_10-Jul-24.pptx</vt:lpwstr>
  </property>
  <property fmtid="{D5CDD505-2E9C-101B-9397-08002B2CF9AE}" pid="339" name="UpSlide_1889458332214.44613[DESTINATION]">
    <vt:lpwstr>Powerpoint, 4772</vt:lpwstr>
  </property>
  <property fmtid="{D5CDD505-2E9C-101B-9397-08002B2CF9AE}" pid="340" name="UpSlide_1889458332214.44613[PATH]">
    <vt:lpwstr>https://kpmgcan.sharepoint.com/sites/CA-KGSCanada-ProjectNorth/Shared Documents/Project North/Staff Files/Project North_Draft report_10-Jul-24.pptx</vt:lpwstr>
  </property>
  <property fmtid="{D5CDD505-2E9C-101B-9397-08002B2CF9AE}" pid="341" name="UpSlide_3916458332277.982692[DESTINATION]">
    <vt:lpwstr>Powerpoint, 4793</vt:lpwstr>
  </property>
  <property fmtid="{D5CDD505-2E9C-101B-9397-08002B2CF9AE}" pid="342" name="UpSlide_3916458332277.982692[PATH]">
    <vt:lpwstr>https://kpmgcan.sharepoint.com/sites/CA-KGSCanada-ProjectNorth/Shared Documents/Project North/Staff Files/Project North_Draft report_10-Jul-24.pptx</vt:lpwstr>
  </property>
  <property fmtid="{D5CDD505-2E9C-101B-9397-08002B2CF9AE}" pid="343" name="UpSlide_2440458332333.715755[DESTINATION]">
    <vt:lpwstr>Powerpoint, 4793</vt:lpwstr>
  </property>
  <property fmtid="{D5CDD505-2E9C-101B-9397-08002B2CF9AE}" pid="344" name="UpSlide_2440458332333.715755[PATH]">
    <vt:lpwstr>https://kpmgcan.sharepoint.com/sites/CA-KGSCanada-ProjectNorth/Shared Documents/Project North/Staff Files/Project North_Draft report_10-Jul-24.pptx</vt:lpwstr>
  </property>
  <property fmtid="{D5CDD505-2E9C-101B-9397-08002B2CF9AE}" pid="345" name="UpSlide_7871458332408.389495[DESTINATION]">
    <vt:lpwstr>Powerpoint, 4773</vt:lpwstr>
  </property>
  <property fmtid="{D5CDD505-2E9C-101B-9397-08002B2CF9AE}" pid="346" name="UpSlide_7871458332408.389495[PATH]">
    <vt:lpwstr>https://kpmgcan.sharepoint.com/sites/CA-KGSCanada-ProjectNorth/Shared Documents/Project North/Staff Files/Project North_Draft report_10-Jul-24.pptx</vt:lpwstr>
  </property>
  <property fmtid="{D5CDD505-2E9C-101B-9397-08002B2CF9AE}" pid="347" name="UpSlide_9164458396330.762034[DESTINATION]">
    <vt:lpwstr>Powerpoint, 1044</vt:lpwstr>
  </property>
  <property fmtid="{D5CDD505-2E9C-101B-9397-08002B2CF9AE}" pid="348" name="UpSlide_9164458396330.762034[PATH]">
    <vt:lpwstr>C:\Users\arushi1\Documents\my projects\ongoing\North\Phase II\Jul 11\Project North_Draft report_20-Jun-24.pptx</vt:lpwstr>
  </property>
  <property fmtid="{D5CDD505-2E9C-101B-9397-08002B2CF9AE}" pid="349" name="UpSlide_674458396443.387284[DESTINATION]">
    <vt:lpwstr>Powerpoint, 4798</vt:lpwstr>
  </property>
  <property fmtid="{D5CDD505-2E9C-101B-9397-08002B2CF9AE}" pid="350" name="UpSlide_674458396443.387284[PATH]">
    <vt:lpwstr>https://kpmgcan.sharepoint.com/sites/CA-KGSCanada-ProjectNorth/Shared Documents/Project North/Staff Files/Project North_(Jun-24) RF Draft report_25-Jul-24.pptx</vt:lpwstr>
  </property>
  <property fmtid="{D5CDD505-2E9C-101B-9397-08002B2CF9AE}" pid="351" name="UpSlide_8573458396545.918468[DESTINATION]">
    <vt:lpwstr>Powerpoint, 1044</vt:lpwstr>
  </property>
  <property fmtid="{D5CDD505-2E9C-101B-9397-08002B2CF9AE}" pid="352" name="UpSlide_8573458396545.918468[PATH]">
    <vt:lpwstr>C:\Users\arushi1\Documents\my projects\ongoing\North\Phase II\Jul 11\Project North_Draft report_20-Jun-24.pptx</vt:lpwstr>
  </property>
  <property fmtid="{D5CDD505-2E9C-101B-9397-08002B2CF9AE}" pid="353" name="UpSlide_5836458397228.079538[DESTINATION]">
    <vt:lpwstr>Powerpoint, 4798</vt:lpwstr>
  </property>
  <property fmtid="{D5CDD505-2E9C-101B-9397-08002B2CF9AE}" pid="354" name="UpSlide_5836458397228.079538[PATH]">
    <vt:lpwstr>https://kpmgcan.sharepoint.com/sites/CA-KGSCanada-ProjectNorth/Shared Documents/Project North/Staff Files/Project North_(Jun-24) RF Draft report_25-Jul-24.pptx</vt:lpwstr>
  </property>
  <property fmtid="{D5CDD505-2E9C-101B-9397-08002B2CF9AE}" pid="355" name="UpSlide_3669458397332.432167[DESTINATION]">
    <vt:lpwstr>Powerpoint, 1045</vt:lpwstr>
  </property>
  <property fmtid="{D5CDD505-2E9C-101B-9397-08002B2CF9AE}" pid="356" name="UpSlide_3669458397332.432167[PATH]">
    <vt:lpwstr>C:\Users\arushi1\Documents\my projects\ongoing\North\Phase II\Jul 11\Project North_Draft report_20-Jun-24.pptx</vt:lpwstr>
  </property>
  <property fmtid="{D5CDD505-2E9C-101B-9397-08002B2CF9AE}" pid="357" name="UpSlide_4603458397375.405362[DESTINATION]">
    <vt:lpwstr>Powerpoint, 1045</vt:lpwstr>
  </property>
  <property fmtid="{D5CDD505-2E9C-101B-9397-08002B2CF9AE}" pid="358" name="UpSlide_4603458397375.405362[PATH]">
    <vt:lpwstr>C:\Users\arushi1\Documents\my projects\ongoing\North\Phase II\Jul 11\Project North_Draft report_20-Jun-24.pptx</vt:lpwstr>
  </property>
  <property fmtid="{D5CDD505-2E9C-101B-9397-08002B2CF9AE}" pid="359" name="UpSlide_4373458411586.164723[DESTINATION]">
    <vt:lpwstr>Powerpoint, 4783</vt:lpwstr>
  </property>
  <property fmtid="{D5CDD505-2E9C-101B-9397-08002B2CF9AE}" pid="360" name="UpSlide_4373458411586.164723[PATH]">
    <vt:lpwstr>https://kpmgcan.sharepoint.com/sites/CA-KGSCanada-ProjectNorth/Shared Documents/Project North/Staff Files/Project North_Draft report_11-Jul-24.pptx</vt:lpwstr>
  </property>
  <property fmtid="{D5CDD505-2E9C-101B-9397-08002B2CF9AE}" pid="361" name="UpSlide_7391458411718.472788[DESTINATION]">
    <vt:lpwstr>Powerpoint, 4720</vt:lpwstr>
  </property>
  <property fmtid="{D5CDD505-2E9C-101B-9397-08002B2CF9AE}" pid="362" name="UpSlide_7391458411718.472788[PATH]">
    <vt:lpwstr>https://kpmgcan.sharepoint.com/sites/CA-KGSCanada-ProjectNorth/Shared Documents/Project North/Staff Files/Project North_Draft report_11-Jul-24.pptx</vt:lpwstr>
  </property>
  <property fmtid="{D5CDD505-2E9C-101B-9397-08002B2CF9AE}" pid="363" name="UpSlide_7448458411819.988599[DESTINATION]">
    <vt:lpwstr>Powerpoint, 4716</vt:lpwstr>
  </property>
  <property fmtid="{D5CDD505-2E9C-101B-9397-08002B2CF9AE}" pid="364" name="UpSlide_7448458411819.988599[PATH]">
    <vt:lpwstr>https://kpmgcan.sharepoint.com/sites/CA-KGSCanada-ProjectNorth/Shared Documents/Project North/Staff Files/Project North_Draft report_11-Jul-24.pptx</vt:lpwstr>
  </property>
  <property fmtid="{D5CDD505-2E9C-101B-9397-08002B2CF9AE}" pid="365" name="UpSlide_2646458411945.315036[DESTINATION]">
    <vt:lpwstr>Powerpoint, 4721</vt:lpwstr>
  </property>
  <property fmtid="{D5CDD505-2E9C-101B-9397-08002B2CF9AE}" pid="366" name="UpSlide_2646458411945.315036[PATH]">
    <vt:lpwstr>https://kpmgcan.sharepoint.com/sites/CA-KGSCanada-ProjectNorth/Shared Documents/Project North/Staff Files/Project North_Draft report_11-Jul-24.pptx</vt:lpwstr>
  </property>
  <property fmtid="{D5CDD505-2E9C-101B-9397-08002B2CF9AE}" pid="367" name="UpSlide_9429458412017.197666[DESTINATION]">
    <vt:lpwstr>Powerpoint, 4715</vt:lpwstr>
  </property>
  <property fmtid="{D5CDD505-2E9C-101B-9397-08002B2CF9AE}" pid="368" name="UpSlide_9429458412017.197666[PATH]">
    <vt:lpwstr>https://kpmgcan.sharepoint.com/sites/CA-KGSCanada-ProjectNorth/Shared Documents/Project North/Staff Files/Project North_(Jun-24) RF Draft report_25-Jul-24.pptx</vt:lpwstr>
  </property>
  <property fmtid="{D5CDD505-2E9C-101B-9397-08002B2CF9AE}" pid="369" name="UpSlide_7568458412118.382209[DESTINATION]">
    <vt:lpwstr>Powerpoint, 4718</vt:lpwstr>
  </property>
  <property fmtid="{D5CDD505-2E9C-101B-9397-08002B2CF9AE}" pid="370" name="UpSlide_7568458412118.382209[PATH]">
    <vt:lpwstr>https://kpmgcan.sharepoint.com/sites/CA-KGSCanada-ProjectNorth/Shared Documents/Project North/Staff Files/Project North_Draft report_11-Jul-24.pptx</vt:lpwstr>
  </property>
  <property fmtid="{D5CDD505-2E9C-101B-9397-08002B2CF9AE}" pid="371" name="UpSlide_4536458412195.168227[DESTINATION]">
    <vt:lpwstr>Powerpoint, 4717</vt:lpwstr>
  </property>
  <property fmtid="{D5CDD505-2E9C-101B-9397-08002B2CF9AE}" pid="372" name="UpSlide_4536458412195.168227[PATH]">
    <vt:lpwstr>https://kpmgcan.sharepoint.com/sites/CA-KGSCanada-ProjectNorth/Shared Documents/Project North/Staff Files/Project North_Draft report_11-Jul-24.pptx</vt:lpwstr>
  </property>
  <property fmtid="{D5CDD505-2E9C-101B-9397-08002B2CF9AE}" pid="373" name="UpSlide_6299459441093.500116[DESTINATION]">
    <vt:lpwstr>Powerpoint, 916</vt:lpwstr>
  </property>
  <property fmtid="{D5CDD505-2E9C-101B-9397-08002B2CF9AE}" pid="374" name="UpSlide_6299459441093.500116[PATH]">
    <vt:lpwstr>https://kpmgcan.sharepoint.com/sites/CA-KGSCanada-ProjectNorth/Shared Documents/Project North/Staff Files/Project North_(Jun-24) RF Draft report_12-Aug-24.pptx</vt:lpwstr>
  </property>
  <property fmtid="{D5CDD505-2E9C-101B-9397-08002B2CF9AE}" pid="375" name="UpSlide_9345459441269.142114[DESTINATION]">
    <vt:lpwstr>Powerpoint, 916</vt:lpwstr>
  </property>
  <property fmtid="{D5CDD505-2E9C-101B-9397-08002B2CF9AE}" pid="376" name="UpSlide_9345459441269.142114[PATH]">
    <vt:lpwstr>https://kpmgcan.sharepoint.com/sites/CA-KGSCanada-ProjectNorth/Shared Documents/Project North/Staff Files/Project North_(Jun-24) RF Draft report_31-Jul-24.pptx</vt:lpwstr>
  </property>
  <property fmtid="{D5CDD505-2E9C-101B-9397-08002B2CF9AE}" pid="377" name="UpSlide_4926459441333.005865[DESTINATION]">
    <vt:lpwstr>Powerpoint, 916</vt:lpwstr>
  </property>
  <property fmtid="{D5CDD505-2E9C-101B-9397-08002B2CF9AE}" pid="378" name="UpSlide_4926459441333.005865[PATH]">
    <vt:lpwstr>https://kpmgcan.sharepoint.com/sites/CA-KGSCanada-ProjectNorth/Shared Documents/Project North/Staff Files/Project North_(Jun-24) RF Draft report_31-Jul-24.pptx</vt:lpwstr>
  </property>
  <property fmtid="{D5CDD505-2E9C-101B-9397-08002B2CF9AE}" pid="379" name="UpSlide_2459459442073.161405[DESTINATION]">
    <vt:lpwstr>Powerpoint, 874</vt:lpwstr>
  </property>
  <property fmtid="{D5CDD505-2E9C-101B-9397-08002B2CF9AE}" pid="380" name="UpSlide_2459459442073.161405[PATH]">
    <vt:lpwstr>https://kpmgcan.sharepoint.com/sites/CA-KGSCanada-ProjectNorth/Shared Documents/Project North/Staff Files/Project North_(Jun-24) RF Draft report_21-Aug-24.pptx</vt:lpwstr>
  </property>
  <property fmtid="{D5CDD505-2E9C-101B-9397-08002B2CF9AE}" pid="381" name="UpSlide_7750459443236.391225[DESTINATION]">
    <vt:lpwstr>Powerpoint, 4694</vt:lpwstr>
  </property>
  <property fmtid="{D5CDD505-2E9C-101B-9397-08002B2CF9AE}" pid="382" name="UpSlide_7750459443236.391225[PATH]">
    <vt:lpwstr>https://kpmgcan.sharepoint.com/sites/CA-KGSCanada-ProjectNorth/Shared Documents/Project North/Staff Files/Project North_(Jun-24) RF Draft report_21-Aug-24.pptx</vt:lpwstr>
  </property>
  <property fmtid="{D5CDD505-2E9C-101B-9397-08002B2CF9AE}" pid="383" name="UpSlide_888459449697.535785[DESTINATION]">
    <vt:lpwstr>Powerpoint, 4762</vt:lpwstr>
  </property>
  <property fmtid="{D5CDD505-2E9C-101B-9397-08002B2CF9AE}" pid="384" name="UpSlide_888459449697.535785[PATH]">
    <vt:lpwstr>https://kpmgcan.sharepoint.com/sites/CA-KGSCanada-ProjectNorth/Shared Documents/Project North/Staff Files/Project North_(Jun-24) RF Draft report_21-Aug-24.pptx</vt:lpwstr>
  </property>
  <property fmtid="{D5CDD505-2E9C-101B-9397-08002B2CF9AE}" pid="385" name="UpSlide_222459449772.266551[DESTINATION]">
    <vt:lpwstr>Powerpoint, 926</vt:lpwstr>
  </property>
  <property fmtid="{D5CDD505-2E9C-101B-9397-08002B2CF9AE}" pid="386" name="UpSlide_222459449772.266551[PATH]">
    <vt:lpwstr>https://kpmgcan.sharepoint.com/sites/CA-KGSCanada-ProjectNorth/Shared Documents/Project North/Staff Files/Project North_(Jun-24) RF Draft report_17-Aug-24.pptx</vt:lpwstr>
  </property>
  <property fmtid="{D5CDD505-2E9C-101B-9397-08002B2CF9AE}" pid="387" name="UpSlide_7049459449925.215056[DESTINATION]">
    <vt:lpwstr>Powerpoint, 926</vt:lpwstr>
  </property>
  <property fmtid="{D5CDD505-2E9C-101B-9397-08002B2CF9AE}" pid="388" name="UpSlide_7049459449925.215056[PATH]">
    <vt:lpwstr>https://kpmgcan.sharepoint.com/sites/CA-KGSCanada-ProjectNorth/Shared Documents/Project North/Staff Files/Project North_(Jun-24) RF Draft report_31-Jul-24.pptx</vt:lpwstr>
  </property>
  <property fmtid="{D5CDD505-2E9C-101B-9397-08002B2CF9AE}" pid="389" name="UpSlide_4434459450169.794886[DESTINATION]">
    <vt:lpwstr>Powerpoint, 4749</vt:lpwstr>
  </property>
  <property fmtid="{D5CDD505-2E9C-101B-9397-08002B2CF9AE}" pid="390" name="UpSlide_4434459450169.794886[PATH]">
    <vt:lpwstr>https://kpmgcan.sharepoint.com/sites/CA-KGSCanada-ProjectNorth/Shared Documents/Project North/Staff Files/Project North_(Jun-24) RF Draft report_23-Jul-24.pptx</vt:lpwstr>
  </property>
  <property fmtid="{D5CDD505-2E9C-101B-9397-08002B2CF9AE}" pid="391" name="UpSlide_9315459450216.95082[DESTINATION]">
    <vt:lpwstr>Powerpoint, 4749</vt:lpwstr>
  </property>
  <property fmtid="{D5CDD505-2E9C-101B-9397-08002B2CF9AE}" pid="392" name="UpSlide_9315459450216.95082[PATH]">
    <vt:lpwstr>https://kpmgcan.sharepoint.com/sites/CA-KGSCanada-ProjectNorth/Shared Documents/Project North/Staff Files/Project North_(Jun-24) RF Draft report_31-Jul-24.pptx</vt:lpwstr>
  </property>
  <property fmtid="{D5CDD505-2E9C-101B-9397-08002B2CF9AE}" pid="393" name="UpSlide_5519459450278.870967[DESTINATION]">
    <vt:lpwstr>Powerpoint, 4742</vt:lpwstr>
  </property>
  <property fmtid="{D5CDD505-2E9C-101B-9397-08002B2CF9AE}" pid="394" name="UpSlide_5519459450278.870967[PATH]">
    <vt:lpwstr>https://kpmgcan.sharepoint.com/sites/CA-KGSCanada-ProjectNorth/Shared Documents/Project North/Staff Files/Project North_(Jun-24) RF Draft report_31-Jul-24.pptx</vt:lpwstr>
  </property>
  <property fmtid="{D5CDD505-2E9C-101B-9397-08002B2CF9AE}" pid="395" name="UpSlide_8907459450329.233964[DESTINATION]">
    <vt:lpwstr>Powerpoint, 4742</vt:lpwstr>
  </property>
  <property fmtid="{D5CDD505-2E9C-101B-9397-08002B2CF9AE}" pid="396" name="UpSlide_8907459450329.233964[PATH]">
    <vt:lpwstr>https://kpmgcan.sharepoint.com/sites/CA-KGSCanada-ProjectNorth/Shared Documents/Project North/Staff Files/Project North_(Jun-24) RF Draft report_31-Jul-24.pptx</vt:lpwstr>
  </property>
  <property fmtid="{D5CDD505-2E9C-101B-9397-08002B2CF9AE}" pid="397" name="UpSlide_9635459450925.337505[DESTINATION]">
    <vt:lpwstr>Powerpoint, 4759</vt:lpwstr>
  </property>
  <property fmtid="{D5CDD505-2E9C-101B-9397-08002B2CF9AE}" pid="398" name="UpSlide_9635459450925.337505[PATH]">
    <vt:lpwstr>https://kpmgcan.sharepoint.com/sites/CA-KGSCanada-ProjectNorth/Shared Documents/Project North/Staff Files/Project North_(Jun-24) RF Draft report_31-Jul-24.pptx</vt:lpwstr>
  </property>
  <property fmtid="{D5CDD505-2E9C-101B-9397-08002B2CF9AE}" pid="399" name="UpSlide_1136459450972.636196[DESTINATION]">
    <vt:lpwstr>Powerpoint, 4759</vt:lpwstr>
  </property>
  <property fmtid="{D5CDD505-2E9C-101B-9397-08002B2CF9AE}" pid="400" name="UpSlide_1136459450972.636196[PATH]">
    <vt:lpwstr>https://kpmgcan.sharepoint.com/sites/CA-KGSCanada-ProjectNorth/Shared Documents/Project North/Staff Files/Project North_(Jun-24) RF Draft report_31-Jul-24.pptx</vt:lpwstr>
  </property>
  <property fmtid="{D5CDD505-2E9C-101B-9397-08002B2CF9AE}" pid="401" name="UpSlide_7739459453911.785388[DESTINATION]">
    <vt:lpwstr>Powerpoint, 4760</vt:lpwstr>
  </property>
  <property fmtid="{D5CDD505-2E9C-101B-9397-08002B2CF9AE}" pid="402" name="UpSlide_7739459453911.785388[PATH]">
    <vt:lpwstr>https://kpmgcan.sharepoint.com/sites/CA-KGSCanada-ProjectNorth/Shared Documents/Project North/Staff Files/Project North_(Jun-24) RF Draft report_31-Jul-24.pptx</vt:lpwstr>
  </property>
  <property fmtid="{D5CDD505-2E9C-101B-9397-08002B2CF9AE}" pid="403" name="UpSlide_2493459454209.394299[DESTINATION]">
    <vt:lpwstr>Powerpoint, 4760</vt:lpwstr>
  </property>
  <property fmtid="{D5CDD505-2E9C-101B-9397-08002B2CF9AE}" pid="404" name="UpSlide_2493459454209.394299[PATH]">
    <vt:lpwstr>https://kpmgcan.sharepoint.com/sites/CA-KGSCanada-ProjectNorth/Shared Documents/Project North/Staff Files/Project North_(Jun-24) RF Draft report_31-Jul-24.pptx</vt:lpwstr>
  </property>
  <property fmtid="{D5CDD505-2E9C-101B-9397-08002B2CF9AE}" pid="405" name="UpSlide_9508459454766.701603[DESTINATION]">
    <vt:lpwstr>Powerpoint, 4747</vt:lpwstr>
  </property>
  <property fmtid="{D5CDD505-2E9C-101B-9397-08002B2CF9AE}" pid="406" name="UpSlide_9508459454766.701603[PATH]">
    <vt:lpwstr>https://kpmgcan.sharepoint.com/sites/CA-KGSCanada-ProjectNorth/Shared Documents/Project North/Staff Files/Project North_(Jun-24) RF Draft report_31-Jul-24.pptx</vt:lpwstr>
  </property>
  <property fmtid="{D5CDD505-2E9C-101B-9397-08002B2CF9AE}" pid="407" name="UpSlide_1423459454888.826195[DESTINATION]">
    <vt:lpwstr>Powerpoint, 4747</vt:lpwstr>
  </property>
  <property fmtid="{D5CDD505-2E9C-101B-9397-08002B2CF9AE}" pid="408" name="UpSlide_1423459454888.826195[PATH]">
    <vt:lpwstr>https://kpmgcan.sharepoint.com/sites/CA-KGSCanada-ProjectNorth/Shared Documents/Project North/Staff Files/Project North_(Jun-24) RF Draft report_31-Jul-24.pptx</vt:lpwstr>
  </property>
  <property fmtid="{D5CDD505-2E9C-101B-9397-08002B2CF9AE}" pid="409" name="UpSlide_1380459455960.441981[DESTINATION]">
    <vt:lpwstr>Powerpoint, 4753</vt:lpwstr>
  </property>
  <property fmtid="{D5CDD505-2E9C-101B-9397-08002B2CF9AE}" pid="410" name="UpSlide_1380459455960.441981[PATH]">
    <vt:lpwstr>https://kpmgcan.sharepoint.com/sites/CA-KGSCanada-ProjectNorth/Shared Documents/Project North/Staff Files/Project North_(Jun-24) RF Draft report_31-Jul-24.pptx</vt:lpwstr>
  </property>
  <property fmtid="{D5CDD505-2E9C-101B-9397-08002B2CF9AE}" pid="411" name="UpSlide_522459456057.893003[DESTINATION]">
    <vt:lpwstr>Powerpoint, 4753</vt:lpwstr>
  </property>
  <property fmtid="{D5CDD505-2E9C-101B-9397-08002B2CF9AE}" pid="412" name="UpSlide_522459456057.893003[PATH]">
    <vt:lpwstr>https://kpmgcan.sharepoint.com/sites/CA-KGSCanada-ProjectNorth/Shared Documents/Project North/Staff Files/Project North_(Jun-24) RF Draft report_31-Jul-24.pptx</vt:lpwstr>
  </property>
  <property fmtid="{D5CDD505-2E9C-101B-9397-08002B2CF9AE}" pid="413" name="UpSlide_9394459456405.021591[DESTINATION]">
    <vt:lpwstr>Powerpoint, 4755</vt:lpwstr>
  </property>
  <property fmtid="{D5CDD505-2E9C-101B-9397-08002B2CF9AE}" pid="414" name="UpSlide_9394459456405.021591[PATH]">
    <vt:lpwstr>https://kpmgcan.sharepoint.com/sites/CA-KGSCanada-ProjectNorth/Shared Documents/Project North/Staff Files/Project North_(Jun-24) RF Draft report_21-Aug-24.pptx</vt:lpwstr>
  </property>
  <property fmtid="{D5CDD505-2E9C-101B-9397-08002B2CF9AE}" pid="415" name="UpSlide_4724459456465.80881[DESTINATION]">
    <vt:lpwstr>Powerpoint, 4755</vt:lpwstr>
  </property>
  <property fmtid="{D5CDD505-2E9C-101B-9397-08002B2CF9AE}" pid="416" name="UpSlide_4724459456465.80881[PATH]">
    <vt:lpwstr>https://kpmgcan.sharepoint.com/sites/CA-KGSCanada-ProjectNorth/Shared Documents/Project North/Staff Files/Project North_(Jun-24) RF Draft report_17-Aug-24.pptx</vt:lpwstr>
  </property>
  <property fmtid="{D5CDD505-2E9C-101B-9397-08002B2CF9AE}" pid="417" name="UpSlide_4778459456612.179112[DESTINATION]">
    <vt:lpwstr>Powerpoint, 4756</vt:lpwstr>
  </property>
  <property fmtid="{D5CDD505-2E9C-101B-9397-08002B2CF9AE}" pid="418" name="UpSlide_4778459456612.179112[PATH]">
    <vt:lpwstr>https://kpmgcan.sharepoint.com/sites/CA-KGSCanada-ProjectNorth/Shared Documents/Project North/Staff Files/Project North_(Jun-24) RF Draft report_31-Jul-24.pptx</vt:lpwstr>
  </property>
  <property fmtid="{D5CDD505-2E9C-101B-9397-08002B2CF9AE}" pid="419" name="UpSlide_9910459456893.190606[DESTINATION]">
    <vt:lpwstr>Powerpoint, 4757</vt:lpwstr>
  </property>
  <property fmtid="{D5CDD505-2E9C-101B-9397-08002B2CF9AE}" pid="420" name="UpSlide_9910459456893.190606[PATH]">
    <vt:lpwstr>https://kpmgcan.sharepoint.com/sites/CA-KGSCanada-ProjectNorth/Shared Documents/Project North/Staff Files/Project North_(Jun-24) RF Draft report_02-Aug-24.pptx</vt:lpwstr>
  </property>
  <property fmtid="{D5CDD505-2E9C-101B-9397-08002B2CF9AE}" pid="421" name="UpSlide_3521459456979.010318[DESTINATION]">
    <vt:lpwstr>Powerpoint, 4757</vt:lpwstr>
  </property>
  <property fmtid="{D5CDD505-2E9C-101B-9397-08002B2CF9AE}" pid="422" name="UpSlide_3521459456979.010318[PATH]">
    <vt:lpwstr>https://kpmgcan.sharepoint.com/sites/CA-KGSCanada-ProjectNorth/Shared Documents/Project North/Staff Files/Project North_(Jun-24) RF Draft report_02-Aug-24.pptx</vt:lpwstr>
  </property>
  <property fmtid="{D5CDD505-2E9C-101B-9397-08002B2CF9AE}" pid="423" name="UpSlide_5953459457130.171389[DESTINATION]">
    <vt:lpwstr>Powerpoint, 4762</vt:lpwstr>
  </property>
  <property fmtid="{D5CDD505-2E9C-101B-9397-08002B2CF9AE}" pid="424" name="UpSlide_5953459457130.171389[PATH]">
    <vt:lpwstr>https://kpmgcan.sharepoint.com/sites/CA-KGSCanada-ProjectNorth/Shared Documents/Project North/Staff Files/Project North_(Jun-24) RF Draft report_02-Aug-24.pptx</vt:lpwstr>
  </property>
  <property fmtid="{D5CDD505-2E9C-101B-9397-08002B2CF9AE}" pid="425" name="UpSlide_9894459457161.97368[DESTINATION]">
    <vt:lpwstr>Powerpoint, 4762</vt:lpwstr>
  </property>
  <property fmtid="{D5CDD505-2E9C-101B-9397-08002B2CF9AE}" pid="426" name="UpSlide_9894459457161.97368[PATH]">
    <vt:lpwstr>https://kpmgcan.sharepoint.com/sites/CA-KGSCanada-ProjectNorth/Shared Documents/Project North/Staff Files/Project North_(Jun-24) RF Draft report_02-Aug-24.pptx</vt:lpwstr>
  </property>
  <property fmtid="{D5CDD505-2E9C-101B-9397-08002B2CF9AE}" pid="427" name="UpSlide_4913459457254.784648[DESTINATION]">
    <vt:lpwstr>Powerpoint, 4764</vt:lpwstr>
  </property>
  <property fmtid="{D5CDD505-2E9C-101B-9397-08002B2CF9AE}" pid="428" name="UpSlide_4913459457254.784648[PATH]">
    <vt:lpwstr>https://kpmgcan.sharepoint.com/sites/CA-KGSCanada-ProjectNorth/Shared Documents/Project North/Staff Files/Project North_(Jun-24) RF Draft report_23-Jul-24.pptx</vt:lpwstr>
  </property>
  <property fmtid="{D5CDD505-2E9C-101B-9397-08002B2CF9AE}" pid="429" name="UpSlide_2533459457312.093633[DESTINATION]">
    <vt:lpwstr>Powerpoint, 4764</vt:lpwstr>
  </property>
  <property fmtid="{D5CDD505-2E9C-101B-9397-08002B2CF9AE}" pid="430" name="UpSlide_2533459457312.093633[PATH]">
    <vt:lpwstr>https://kpmgcan.sharepoint.com/sites/CA-KGSCanada-ProjectNorth/Shared Documents/Project North/Staff Files/Project North_(Jun-24) RF Draft report_07-Aug-24.pptx</vt:lpwstr>
  </property>
  <property fmtid="{D5CDD505-2E9C-101B-9397-08002B2CF9AE}" pid="431" name="UpSlide_1221459457516.504832[DESTINATION]">
    <vt:lpwstr>Powerpoint, 4764</vt:lpwstr>
  </property>
  <property fmtid="{D5CDD505-2E9C-101B-9397-08002B2CF9AE}" pid="432" name="UpSlide_1221459457516.504832[PATH]">
    <vt:lpwstr>https://kpmgcan.sharepoint.com/sites/CA-KGSCanada-ProjectNorth/Shared Documents/Project North/Staff Files/Project North_(Jun-24) RF Draft report_07-Aug-24.pptx</vt:lpwstr>
  </property>
  <property fmtid="{D5CDD505-2E9C-101B-9397-08002B2CF9AE}" pid="433" name="UpSlide_285459457687.063318[DESTINATION]">
    <vt:lpwstr>Powerpoint, 4768</vt:lpwstr>
  </property>
  <property fmtid="{D5CDD505-2E9C-101B-9397-08002B2CF9AE}" pid="434" name="UpSlide_285459457687.063318[PATH]">
    <vt:lpwstr>https://kpmgcan.sharepoint.com/sites/CA-KGSCanada-ProjectNorth/Shared Documents/Project North/Staff Files/Project North_(Jun-24) RF Draft report_31-Jul-24.pptx</vt:lpwstr>
  </property>
  <property fmtid="{D5CDD505-2E9C-101B-9397-08002B2CF9AE}" pid="435" name="UpSlide_347459457730.101505[DESTINATION]">
    <vt:lpwstr>Powerpoint, 4768</vt:lpwstr>
  </property>
  <property fmtid="{D5CDD505-2E9C-101B-9397-08002B2CF9AE}" pid="436" name="UpSlide_347459457730.101505[PATH]">
    <vt:lpwstr>https://kpmgcan.sharepoint.com/sites/CA-KGSCanada-ProjectNorth/Shared Documents/Project North/Staff Files/Project North_(Jun-24) RF Draft report_31-Jul-24.pptx</vt:lpwstr>
  </property>
  <property fmtid="{D5CDD505-2E9C-101B-9397-08002B2CF9AE}" pid="437" name="UpSlide_8595459458523.465223[DESTINATION]">
    <vt:lpwstr>Powerpoint, 4737</vt:lpwstr>
  </property>
  <property fmtid="{D5CDD505-2E9C-101B-9397-08002B2CF9AE}" pid="438" name="UpSlide_8595459458523.465223[PATH]">
    <vt:lpwstr>https://kpmgcan.sharepoint.com/sites/CA-KGSCanada-ProjectNorth/Shared Documents/Project North/Staff Files/Project North_(Jun-24) RF Draft report_16-Aug-24.pptx</vt:lpwstr>
  </property>
  <property fmtid="{D5CDD505-2E9C-101B-9397-08002B2CF9AE}" pid="439" name="UpSlide_7317459460722.746073[DESTINATION]">
    <vt:lpwstr>Powerpoint, 4773</vt:lpwstr>
  </property>
  <property fmtid="{D5CDD505-2E9C-101B-9397-08002B2CF9AE}" pid="440" name="UpSlide_7317459460722.746073[PATH]">
    <vt:lpwstr>https://kpmgcan.sharepoint.com/sites/CA-KGSCanada-ProjectNorth/Shared Documents/Project North/Staff Files/Project North_(Jun-24) RF Draft report_21-Aug-24.pptx</vt:lpwstr>
  </property>
  <property fmtid="{D5CDD505-2E9C-101B-9397-08002B2CF9AE}" pid="441" name="UpSlide_1939459460932.260441[DESTINATION]">
    <vt:lpwstr>Powerpoint, 911</vt:lpwstr>
  </property>
  <property fmtid="{D5CDD505-2E9C-101B-9397-08002B2CF9AE}" pid="442" name="UpSlide_1939459460932.260441[PATH]">
    <vt:lpwstr>https://kpmgcan.sharepoint.com/sites/CA-KGSCanada-ProjectNorth/Shared Documents/Project North/Staff Files/Project North_(Jun-24) RF Draft report_31-Jul-24.pptx</vt:lpwstr>
  </property>
  <property fmtid="{D5CDD505-2E9C-101B-9397-08002B2CF9AE}" pid="443" name="UpSlide_8864459463306.625652[DESTINATION]">
    <vt:lpwstr>Powerpoint, 4772</vt:lpwstr>
  </property>
  <property fmtid="{D5CDD505-2E9C-101B-9397-08002B2CF9AE}" pid="444" name="UpSlide_8864459463306.625652[PATH]">
    <vt:lpwstr>https://kpmgcan.sharepoint.com/sites/CA-KGSCanada-ProjectNorth/Shared Documents/Project North/Staff Files/Project North_(Jun-24) RF Draft report_21-Aug-24.pptx</vt:lpwstr>
  </property>
  <property fmtid="{D5CDD505-2E9C-101B-9397-08002B2CF9AE}" pid="445" name="UpSlide_5472459463454.963139[DESTINATION]">
    <vt:lpwstr>Powerpoint, 4772</vt:lpwstr>
  </property>
  <property fmtid="{D5CDD505-2E9C-101B-9397-08002B2CF9AE}" pid="446" name="UpSlide_5472459463454.963139[PATH]">
    <vt:lpwstr>https://kpmgcan.sharepoint.com/sites/CA-KGSCanada-ProjectNorth/Shared Documents/Project North/Staff Files/Project North_(Jun-24) RF Draft report_21-Aug-24.pptx</vt:lpwstr>
  </property>
  <property fmtid="{D5CDD505-2E9C-101B-9397-08002B2CF9AE}" pid="447" name="UpSlide_2934459463626.443661[DESTINATION]">
    <vt:lpwstr>Powerpoint, 4793</vt:lpwstr>
  </property>
  <property fmtid="{D5CDD505-2E9C-101B-9397-08002B2CF9AE}" pid="448" name="UpSlide_2934459463626.443661[PATH]">
    <vt:lpwstr>https://kpmgcan.sharepoint.com/sites/CA-KGSCanada-ProjectNorth/Shared Documents/Project North/Staff Files/Project North_(Jun-24) RF Draft report_21-Aug-24.pptx</vt:lpwstr>
  </property>
  <property fmtid="{D5CDD505-2E9C-101B-9397-08002B2CF9AE}" pid="449" name="UpSlide_3246459463671.354052[DESTINATION]">
    <vt:lpwstr>Powerpoint, 4793</vt:lpwstr>
  </property>
  <property fmtid="{D5CDD505-2E9C-101B-9397-08002B2CF9AE}" pid="450" name="UpSlide_3246459463671.354052[PATH]">
    <vt:lpwstr>https://kpmgcan.sharepoint.com/sites/CA-KGSCanada-ProjectNorth/Shared Documents/Project North/Staff Files/Project North_(Jun-24) RF Draft report_31-Jul-24.pptx</vt:lpwstr>
  </property>
  <property fmtid="{D5CDD505-2E9C-101B-9397-08002B2CF9AE}" pid="451" name="UpSlide_5910459463770.644195[DESTINATION]">
    <vt:lpwstr>Powerpoint, 4773</vt:lpwstr>
  </property>
  <property fmtid="{D5CDD505-2E9C-101B-9397-08002B2CF9AE}" pid="452" name="UpSlide_5910459463770.644195[PATH]">
    <vt:lpwstr>https://kpmgcan.sharepoint.com/sites/CA-KGSCanada-ProjectNorth/Shared Documents/Project North/Staff Files/Project North_(Jun-24) RF Draft report_17-Aug-24.pptx</vt:lpwstr>
  </property>
  <property fmtid="{D5CDD505-2E9C-101B-9397-08002B2CF9AE}" pid="453" name="UpSlide_6768459614474.34348[DESTINATION]">
    <vt:lpwstr>Powerpoint, 4719</vt:lpwstr>
  </property>
  <property fmtid="{D5CDD505-2E9C-101B-9397-08002B2CF9AE}" pid="454" name="UpSlide_6768459614474.34348[PATH]">
    <vt:lpwstr>https://kpmgcan.sharepoint.com/sites/CA-KGSCanada-ProjectNorth/Shared Documents/Project North/Staff Files/Project North_(Jun-24) RF Draft report_25-Jul-24.pptx</vt:lpwstr>
  </property>
  <property fmtid="{D5CDD505-2E9C-101B-9397-08002B2CF9AE}" pid="455" name="UpSlide_8579459614781.300886[DESTINATION]">
    <vt:lpwstr>Powerpoint, 4783</vt:lpwstr>
  </property>
  <property fmtid="{D5CDD505-2E9C-101B-9397-08002B2CF9AE}" pid="456" name="UpSlide_8579459614781.300886[PATH]">
    <vt:lpwstr>https://kpmgcan.sharepoint.com/sites/CA-KGSCanada-ProjectNorth/Shared Documents/Project North/Staff Files/Project North_(Jun-24) RF Draft report_25-Jul-24.pptx</vt:lpwstr>
  </property>
  <property fmtid="{D5CDD505-2E9C-101B-9397-08002B2CF9AE}" pid="457" name="UpSlide_7483459615126.90295[DESTINATION]">
    <vt:lpwstr>Powerpoint, 4720</vt:lpwstr>
  </property>
  <property fmtid="{D5CDD505-2E9C-101B-9397-08002B2CF9AE}" pid="458" name="UpSlide_7483459615126.90295[PATH]">
    <vt:lpwstr>https://kpmgcan.sharepoint.com/sites/CA-KGSCanada-ProjectNorth/Shared Documents/Project North/Staff Files/Project North_(Jun-24) RF Draft report_25-Jul-24.pptx</vt:lpwstr>
  </property>
  <property fmtid="{D5CDD505-2E9C-101B-9397-08002B2CF9AE}" pid="459" name="UpSlide_5186459617061.447117[DESTINATION]">
    <vt:lpwstr>Powerpoint, 4716</vt:lpwstr>
  </property>
  <property fmtid="{D5CDD505-2E9C-101B-9397-08002B2CF9AE}" pid="460" name="UpSlide_5186459617061.447117[PATH]">
    <vt:lpwstr>https://kpmgcan.sharepoint.com/sites/CA-KGSCanada-ProjectNorth/Shared Documents/Project North/Staff Files/Project North_(Jun-24) RF Draft report_25-Jul-24.pptx</vt:lpwstr>
  </property>
  <property fmtid="{D5CDD505-2E9C-101B-9397-08002B2CF9AE}" pid="461" name="UpSlide_7084459619814.933538[DESTINATION]">
    <vt:lpwstr>Powerpoint, 4721</vt:lpwstr>
  </property>
  <property fmtid="{D5CDD505-2E9C-101B-9397-08002B2CF9AE}" pid="462" name="UpSlide_7084459619814.933538[PATH]">
    <vt:lpwstr>https://kpmgcan.sharepoint.com/sites/CA-KGSCanada-ProjectNorth/Shared Documents/Project North/Staff Files/Project North_(Jun-24) RF Draft report_25-Jul-24.pptx</vt:lpwstr>
  </property>
  <property fmtid="{D5CDD505-2E9C-101B-9397-08002B2CF9AE}" pid="463" name="UpSlide_5889459620685.10638[DESTINATION]">
    <vt:lpwstr>Powerpoint, 4718</vt:lpwstr>
  </property>
  <property fmtid="{D5CDD505-2E9C-101B-9397-08002B2CF9AE}" pid="464" name="UpSlide_5889459620685.10638[PATH]">
    <vt:lpwstr>https://kpmgcan.sharepoint.com/sites/CA-KGSCanada-ProjectNorth/Shared Documents/Project North/Staff Files/Project North_(Jun-24) RF Draft report_25-Jul-24.pptx</vt:lpwstr>
  </property>
  <property fmtid="{D5CDD505-2E9C-101B-9397-08002B2CF9AE}" pid="465" name="UpSlide_3771459621501.946437[DESTINATION]">
    <vt:lpwstr>Powerpoint, 4717</vt:lpwstr>
  </property>
  <property fmtid="{D5CDD505-2E9C-101B-9397-08002B2CF9AE}" pid="466" name="UpSlide_3771459621501.946437[PATH]">
    <vt:lpwstr>https://kpmgcan.sharepoint.com/sites/CA-KGSCanada-ProjectNorth/Shared Documents/Project North/Staff Files/Project North_(Jun-24) RF Draft report_25-Jul-24.pptx</vt:lpwstr>
  </property>
  <property fmtid="{D5CDD505-2E9C-101B-9397-08002B2CF9AE}" pid="467" name="UpSlide_33459622664.177303[DESTINATION]">
    <vt:lpwstr>Powerpoint, 4782</vt:lpwstr>
  </property>
  <property fmtid="{D5CDD505-2E9C-101B-9397-08002B2CF9AE}" pid="468" name="UpSlide_33459622664.177303[PATH]">
    <vt:lpwstr>https://kpmgcan.sharepoint.com/sites/CA-KGSCanada-ProjectNorth/Shared Documents/Project North/Staff Files/Project North_(Jun-24) RF Draft report_21-Aug-24.pptx</vt:lpwstr>
  </property>
  <property fmtid="{D5CDD505-2E9C-101B-9397-08002B2CF9AE}" pid="469" name="UpSlide_7008459622866.000846[DESTINATION]">
    <vt:lpwstr>Powerpoint, 4734</vt:lpwstr>
  </property>
  <property fmtid="{D5CDD505-2E9C-101B-9397-08002B2CF9AE}" pid="470" name="UpSlide_7008459622866.000846[PATH]">
    <vt:lpwstr>https://kpmgcan.sharepoint.com/sites/CA-KGSCanada-ProjectNorth/Shared Documents/Project North/Staff Files/Project North_(Jun-24) RF Draft report_21-Aug-24.pptx</vt:lpwstr>
  </property>
  <property fmtid="{D5CDD505-2E9C-101B-9397-08002B2CF9AE}" pid="471" name="UpSlide_4481459629747.401254[DESTINATION]">
    <vt:lpwstr>Powerpoint, 4797</vt:lpwstr>
  </property>
  <property fmtid="{D5CDD505-2E9C-101B-9397-08002B2CF9AE}" pid="472" name="UpSlide_4481459629747.401254[PATH]">
    <vt:lpwstr>https://kpmgcan.sharepoint.com/sites/CA-KGSCanada-ProjectNorth/Shared Documents/Project North/Staff Files/Project North_(Jun-24) RF Draft report_25-Jul-24.pptx</vt:lpwstr>
  </property>
  <property fmtid="{D5CDD505-2E9C-101B-9397-08002B2CF9AE}" pid="473" name="UpSlide_9481459638179.454463[DESTINATION]">
    <vt:lpwstr>Powerpoint, 4775</vt:lpwstr>
  </property>
  <property fmtid="{D5CDD505-2E9C-101B-9397-08002B2CF9AE}" pid="474" name="UpSlide_9481459638179.454463[PATH]">
    <vt:lpwstr>https://kpmgcan.sharepoint.com/sites/CA-KGSCanada-ProjectNorth/Shared Documents/Project North/Staff Files/Project North_(Jun-24) RF Draft report_31-Jul-24.pptx</vt:lpwstr>
  </property>
  <property fmtid="{D5CDD505-2E9C-101B-9397-08002B2CF9AE}" pid="475" name="UpSlide_2548459638424.873868[DESTINATION]">
    <vt:lpwstr>Powerpoint, 919</vt:lpwstr>
  </property>
  <property fmtid="{D5CDD505-2E9C-101B-9397-08002B2CF9AE}" pid="476" name="UpSlide_2548459638424.873868[PATH]">
    <vt:lpwstr>https://kpmgcan.sharepoint.com/sites/CA-KGSCanada-ProjectNorth/Shared Documents/Project North/Staff Files/Project North_(Jun-24) RF Draft report_17-Aug-24.pptx</vt:lpwstr>
  </property>
  <property fmtid="{D5CDD505-2E9C-101B-9397-08002B2CF9AE}" pid="477" name="UpSlide_2951459638495.276198[DESTINATION]">
    <vt:lpwstr>Powerpoint, 4774</vt:lpwstr>
  </property>
  <property fmtid="{D5CDD505-2E9C-101B-9397-08002B2CF9AE}" pid="478" name="UpSlide_2951459638495.276198[PATH]">
    <vt:lpwstr>https://kpmgcan.sharepoint.com/sites/CA-KGSCanada-ProjectNorth/Shared Documents/Project North/Staff Files/Project North_(Jun-24) RF Draft report_17-Aug-24.pptx</vt:lpwstr>
  </property>
  <property fmtid="{D5CDD505-2E9C-101B-9397-08002B2CF9AE}" pid="479" name="UpSlide_171459638652.078828[DESTINATION]">
    <vt:lpwstr>Powerpoint, 4796</vt:lpwstr>
  </property>
  <property fmtid="{D5CDD505-2E9C-101B-9397-08002B2CF9AE}" pid="480" name="UpSlide_171459638652.078828[PATH]">
    <vt:lpwstr>https://kpmgcan.sharepoint.com/sites/CA-KGSCanada-ProjectNorth/Shared Documents/Project North/Staff Files/Project North_(Jun-24) RF Draft report_25-Jul-24.pptx</vt:lpwstr>
  </property>
  <property fmtid="{D5CDD505-2E9C-101B-9397-08002B2CF9AE}" pid="481" name="UpSlide_7585459638725.258244[DESTINATION]">
    <vt:lpwstr>Powerpoint, 4796</vt:lpwstr>
  </property>
  <property fmtid="{D5CDD505-2E9C-101B-9397-08002B2CF9AE}" pid="482" name="UpSlide_7585459638725.258244[PATH]">
    <vt:lpwstr>https://kpmgcan.sharepoint.com/sites/CA-KGSCanada-ProjectNorth/Shared Documents/Project North/Staff Files/Project North_(Jun-24) RF Draft report_25-Jul-24.pptx</vt:lpwstr>
  </property>
  <property fmtid="{D5CDD505-2E9C-101B-9397-08002B2CF9AE}" pid="483" name="UpSlide_7534459638825.687523[DESTINATION]">
    <vt:lpwstr>Powerpoint, 4796</vt:lpwstr>
  </property>
  <property fmtid="{D5CDD505-2E9C-101B-9397-08002B2CF9AE}" pid="484" name="UpSlide_7534459638825.687523[PATH]">
    <vt:lpwstr>https://kpmgcan.sharepoint.com/sites/CA-KGSCanada-ProjectNorth/Shared Documents/Project North/Staff Files/Project North_(Jun-24) RF Draft report_25-Jul-24.pptx</vt:lpwstr>
  </property>
  <property fmtid="{D5CDD505-2E9C-101B-9397-08002B2CF9AE}" pid="485" name="UpSlide_7525459639066.847418[DESTINATION]">
    <vt:lpwstr>Powerpoint, 4776</vt:lpwstr>
  </property>
  <property fmtid="{D5CDD505-2E9C-101B-9397-08002B2CF9AE}" pid="486" name="UpSlide_7525459639066.847418[PATH]">
    <vt:lpwstr>https://kpmgcan.sharepoint.com/sites/CA-KGSCanada-ProjectNorth/Shared Documents/Project North/Staff Files/Project North_(Jun-24) RF Draft report_15-Aug-24.pptx</vt:lpwstr>
  </property>
  <property fmtid="{D5CDD505-2E9C-101B-9397-08002B2CF9AE}" pid="487" name="UpSlide_8198459639118.341285[DESTINATION]">
    <vt:lpwstr>Powerpoint, 4776</vt:lpwstr>
  </property>
  <property fmtid="{D5CDD505-2E9C-101B-9397-08002B2CF9AE}" pid="488" name="UpSlide_8198459639118.341285[PATH]">
    <vt:lpwstr>https://kpmgcan.sharepoint.com/sites/CA-KGSCanada-ProjectNorth/Shared Documents/Project North/Staff Files/Project North_(Jun-24) RF Draft report_25-Jul-24.pptx</vt:lpwstr>
  </property>
  <property fmtid="{D5CDD505-2E9C-101B-9397-08002B2CF9AE}" pid="489" name="UpSlide_9003459639180.995802[DESTINATION]">
    <vt:lpwstr>Powerpoint, 4777</vt:lpwstr>
  </property>
  <property fmtid="{D5CDD505-2E9C-101B-9397-08002B2CF9AE}" pid="490" name="UpSlide_9003459639180.995802[PATH]">
    <vt:lpwstr>https://kpmgcan.sharepoint.com/sites/CA-KGSCanada-ProjectNorth/Shared Documents/Project North/Staff Files/Project North_(Jun-24) RF Draft report_15-Aug-24.pptx</vt:lpwstr>
  </property>
  <property fmtid="{D5CDD505-2E9C-101B-9397-08002B2CF9AE}" pid="491" name="UpSlide_466459639196.541452[DESTINATION]">
    <vt:lpwstr>Powerpoint, 4777</vt:lpwstr>
  </property>
  <property fmtid="{D5CDD505-2E9C-101B-9397-08002B2CF9AE}" pid="492" name="UpSlide_466459639196.541452[PATH]">
    <vt:lpwstr>https://kpmgcan.sharepoint.com/sites/CA-KGSCanada-ProjectNorth/Shared Documents/Project North/Staff Files/Project North_(Jun-24) RF Draft report_25-Jul-24.pptx</vt:lpwstr>
  </property>
  <property fmtid="{D5CDD505-2E9C-101B-9397-08002B2CF9AE}" pid="493" name="UpSlide_5055459639406.38255[DESTINATION]">
    <vt:lpwstr>Powerpoint, 4712</vt:lpwstr>
  </property>
  <property fmtid="{D5CDD505-2E9C-101B-9397-08002B2CF9AE}" pid="494" name="UpSlide_5055459639406.38255[PATH]">
    <vt:lpwstr>https://kpmgcan.sharepoint.com/sites/CA-KGSCanada-ProjectNorth/Shared Documents/Project North/Staff Files/Project North_(Jun-24) RF Draft report_02-Aug-24.pptx</vt:lpwstr>
  </property>
  <property fmtid="{D5CDD505-2E9C-101B-9397-08002B2CF9AE}" pid="495" name="UpSlide_6893459639601.62007[DESTINATION]">
    <vt:lpwstr>Powerpoint, 915</vt:lpwstr>
  </property>
  <property fmtid="{D5CDD505-2E9C-101B-9397-08002B2CF9AE}" pid="496" name="UpSlide_6893459639601.62007[PATH]">
    <vt:lpwstr>https://kpmgcan.sharepoint.com/sites/CA-KGSCanada-ProjectNorth/Shared Documents/Project North/Staff Files/Project North_(Jun-24) RF Draft report_31-Jul-24.pptx</vt:lpwstr>
  </property>
  <property fmtid="{D5CDD505-2E9C-101B-9397-08002B2CF9AE}" pid="497" name="UpSlide_6715460155167.510482[DESTINATION]">
    <vt:lpwstr>Powerpoint, 4749</vt:lpwstr>
  </property>
  <property fmtid="{D5CDD505-2E9C-101B-9397-08002B2CF9AE}" pid="498" name="UpSlide_6715460155167.510482[PATH]">
    <vt:lpwstr>https://kpmgcan.sharepoint.com/sites/CA-KGSCanada-ProjectNorth/Shared Documents/Project North/Staff Files/Project North_(Jun-24) RF Draft report_21-Aug-24.pptx</vt:lpwstr>
  </property>
  <property fmtid="{D5CDD505-2E9C-101B-9397-08002B2CF9AE}" pid="499" name="UpSlide_8043460162165.423056[DESTINATION]">
    <vt:lpwstr>Powerpoint, 4768</vt:lpwstr>
  </property>
  <property fmtid="{D5CDD505-2E9C-101B-9397-08002B2CF9AE}" pid="500" name="UpSlide_8043460162165.423056[PATH]">
    <vt:lpwstr>https://kpmgcan.sharepoint.com/sites/CA-KGSCanada-ProjectNorth/Shared Documents/Project North/Staff Files/Project North_(Jun-24) RF Draft report_31-Jul-24.pptx</vt:lpwstr>
  </property>
  <property fmtid="{D5CDD505-2E9C-101B-9397-08002B2CF9AE}" pid="501" name="UpSlide_700460175488.780593[DESTINATION]">
    <vt:lpwstr>Powerpoint, 4698</vt:lpwstr>
  </property>
  <property fmtid="{D5CDD505-2E9C-101B-9397-08002B2CF9AE}" pid="502" name="UpSlide_700460175488.780593[PATH]">
    <vt:lpwstr>https://kpmgcan.sharepoint.com/sites/CA-KGSCanada-ProjectNorth/Shared Documents/Project North/Staff Files/Project North_(Jun-24) RF Draft report_31-Jul-24.pptx</vt:lpwstr>
  </property>
  <property fmtid="{D5CDD505-2E9C-101B-9397-08002B2CF9AE}" pid="503" name="UpSlide_5033460175586.554926[DESTINATION]">
    <vt:lpwstr>Powerpoint, 4711</vt:lpwstr>
  </property>
  <property fmtid="{D5CDD505-2E9C-101B-9397-08002B2CF9AE}" pid="504" name="UpSlide_5033460175586.554926[PATH]">
    <vt:lpwstr>https://kpmgcan.sharepoint.com/sites/CA-KGSCanada-ProjectNorth/Shared Documents/Project North/Staff Files/Project North_(Jun-24) RF Draft report_31-Jul-24.pptx</vt:lpwstr>
  </property>
  <property fmtid="{D5CDD505-2E9C-101B-9397-08002B2CF9AE}" pid="505" name="UpSlide_5159460176086.890185[DESTINATION]">
    <vt:lpwstr>Powerpoint, 4713</vt:lpwstr>
  </property>
  <property fmtid="{D5CDD505-2E9C-101B-9397-08002B2CF9AE}" pid="506" name="UpSlide_5159460176086.890185[PATH]">
    <vt:lpwstr>https://kpmgcan.sharepoint.com/sites/CA-KGSCanada-ProjectNorth/Shared Documents/Project North/Staff Files/Project North_(Jun-24) RF Draft report_31-Jul-24.pptx</vt:lpwstr>
  </property>
  <property fmtid="{D5CDD505-2E9C-101B-9397-08002B2CF9AE}" pid="507" name="UpSlide_4603460232598.763499[DESTINATION]">
    <vt:lpwstr>Powerpoint, 4697</vt:lpwstr>
  </property>
  <property fmtid="{D5CDD505-2E9C-101B-9397-08002B2CF9AE}" pid="508" name="UpSlide_4603460232598.763499[PATH]">
    <vt:lpwstr>https://kpmgcan.sharepoint.com/sites/CA-KGSCanada-ProjectNorth/Shared Documents/Project North/Staff Files/Project North_(Jun-24) RF Draft report_21-Aug-24.pptx</vt:lpwstr>
  </property>
  <property fmtid="{D5CDD505-2E9C-101B-9397-08002B2CF9AE}" pid="509" name="UpSlide_2041461444608.509369[DESTINATION]">
    <vt:lpwstr>Powerpoint, 4796</vt:lpwstr>
  </property>
  <property fmtid="{D5CDD505-2E9C-101B-9397-08002B2CF9AE}" pid="510" name="UpSlide_2041461444608.509369[PATH]">
    <vt:lpwstr>https://kpmgcan.sharepoint.com/sites/CA-KGSCanada-ProjectNorth/Shared Documents/Project North/Staff Files/Project North_(Jun-24) RF Draft report_15-Aug-24.pptx</vt:lpwstr>
  </property>
  <property fmtid="{D5CDD505-2E9C-101B-9397-08002B2CF9AE}" pid="511" name="UpSlide_1632461445333.781375[DESTINATION]">
    <vt:lpwstr>Powerpoint, 4711</vt:lpwstr>
  </property>
  <property fmtid="{D5CDD505-2E9C-101B-9397-08002B2CF9AE}" pid="512" name="UpSlide_1632461445333.781375[PATH]">
    <vt:lpwstr>https://kpmgcan.sharepoint.com/sites/CA-KGSCanada-ProjectNorth/Shared Documents/Project North/Staff Files/Project North_(Jun-24) RF Draft report_15-Aug-24.pptx</vt:lpwstr>
  </property>
  <property fmtid="{D5CDD505-2E9C-101B-9397-08002B2CF9AE}" pid="513" name="UpSlide_3457461446275.386074[DESTINATION]">
    <vt:lpwstr>Powerpoint, 4710</vt:lpwstr>
  </property>
  <property fmtid="{D5CDD505-2E9C-101B-9397-08002B2CF9AE}" pid="514" name="UpSlide_3457461446275.386074[PATH]">
    <vt:lpwstr>https://kpmgcan.sharepoint.com/sites/CA-KGSCanada-ProjectNorth/Shared Documents/Project North/Staff Files/Project North_(Jun-24) RF Draft report_15-Aug-24.pptx</vt:lpwstr>
  </property>
  <property fmtid="{D5CDD505-2E9C-101B-9397-08002B2CF9AE}" pid="515" name="UpSlide_1454461536982.730292[DESTINATION]">
    <vt:lpwstr>Powerpoint, 912</vt:lpwstr>
  </property>
  <property fmtid="{D5CDD505-2E9C-101B-9397-08002B2CF9AE}" pid="516" name="UpSlide_1454461536982.730292[PATH]">
    <vt:lpwstr>https://kpmgcan.sharepoint.com/sites/CA-KGSCanada-ProjectNorth/Shared Documents/Project North/Staff Files/Project North_(Jun-24) RF Draft report_21-Aug-24.pptx</vt:lpwstr>
  </property>
  <property fmtid="{D5CDD505-2E9C-101B-9397-08002B2CF9AE}" pid="517" name="UpSlide_6336461708171.217096[DESTINATION]">
    <vt:lpwstr>Powerpoint, 886</vt:lpwstr>
  </property>
  <property fmtid="{D5CDD505-2E9C-101B-9397-08002B2CF9AE}" pid="518" name="UpSlide_6336461708171.217096[PATH]">
    <vt:lpwstr>https://kpmgcan.sharepoint.com/sites/CA-KGSCanada-ProjectNorth/Shared Documents/Project North/Staff Files/Project North_(Jun-24) RF Draft report_17-Aug-24.pptx</vt:lpwstr>
  </property>
  <property fmtid="{D5CDD505-2E9C-101B-9397-08002B2CF9AE}" pid="519" name="UpSlide_6649461952296.870365[DESTINATION]">
    <vt:lpwstr>Powerpoint, 886</vt:lpwstr>
  </property>
  <property fmtid="{D5CDD505-2E9C-101B-9397-08002B2CF9AE}" pid="520" name="UpSlide_6649461952296.870365[PATH]">
    <vt:lpwstr>https://kpmgcan.sharepoint.com/sites/CA-KGSCanada-ProjectNorth/Shared Documents/Project North/Staff Files/Project North_(Jun-24) RF Draft report_21-Aug-24.pptx</vt:lpwstr>
  </property>
  <property fmtid="{D5CDD505-2E9C-101B-9397-08002B2CF9AE}" pid="521" name="UpSlide_311461980084.080147[DESTINATION]">
    <vt:lpwstr>Powerpoint, 4753</vt:lpwstr>
  </property>
  <property fmtid="{D5CDD505-2E9C-101B-9397-08002B2CF9AE}" pid="522" name="UpSlide_311461980084.080147[PATH]">
    <vt:lpwstr>https://kpmgcan.sharepoint.com/sites/CA-KGSCanada-ProjectNorth/Shared Documents/Project North/Staff Files/Project North_(Jun-24) RF Draft report_21-Aug-24 vS.pptx</vt:lpwstr>
  </property>
  <property fmtid="{D5CDD505-2E9C-101B-9397-08002B2CF9AE}" pid="523" name="MediaServiceImageTags">
    <vt:lpwstr/>
  </property>
</Properties>
</file>