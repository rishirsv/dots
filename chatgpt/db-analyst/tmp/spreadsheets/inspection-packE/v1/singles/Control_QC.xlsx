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ntrol | QC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8" customWidth="1" min="4" max="4"/>
    <col width="10" customWidth="1" min="5" max="5"/>
    <col width="12" customWidth="1" min="6" max="6"/>
    <col width="10" customWidth="1" min="7" max="7"/>
    <col width="10" customWidth="1" min="8" max="8"/>
    <col width="42" customWidth="1" min="9" max="9"/>
  </cols>
  <sheetData>
    <row r="1" ht="24" customHeight="1">
      <c r="A1" s="3921" t="inlineStr">
        <is>
          <t>Control | QC</t>
        </is>
      </c>
    </row>
    <row r="2">
      <c r="A2" s="3978" t="inlineStr">
        <is>
          <t>Source: &lt;document_source&gt;</t>
        </is>
      </c>
    </row>
    <row r="4">
      <c r="A4" s="3936" t="inlineStr">
        <is>
          <t>Workbook QC Status</t>
        </is>
      </c>
      <c r="B4" s="3982">
        <f>IF(COUNTIF(G9:G200,FALSE)&gt;0,"FAIL",IF(COUNTIF(G9:G200,TRUE)&gt;0,"PASS","PENDING"))</f>
        <v/>
      </c>
    </row>
    <row r="6">
      <c r="A6" s="3983" t="inlineStr">
        <is>
          <t>Centralized pass/fail matrix linked to check cells across all core sheets.</t>
        </is>
      </c>
    </row>
    <row r="7">
      <c r="A7" s="3979" t="inlineStr">
        <is>
          <t>QC Matrix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CheckID</t>
        </is>
      </c>
      <c r="B8" s="3923" t="inlineStr">
        <is>
          <t>CheckName</t>
        </is>
      </c>
      <c r="C8" s="3923" t="inlineStr">
        <is>
          <t>Sheet</t>
        </is>
      </c>
      <c r="D8" s="3923" t="inlineStr">
        <is>
          <t>CellRef</t>
        </is>
      </c>
      <c r="E8" s="3923" t="inlineStr">
        <is>
          <t>Expected</t>
        </is>
      </c>
      <c r="F8" s="3923" t="inlineStr">
        <is>
          <t>Actual</t>
        </is>
      </c>
      <c r="G8" s="3923" t="inlineStr">
        <is>
          <t>PassFlag</t>
        </is>
      </c>
      <c r="H8" s="3923" t="inlineStr">
        <is>
          <t>Severity</t>
        </is>
      </c>
      <c r="I8" s="3923" t="inlineStr">
        <is>
          <t>Notes</t>
        </is>
      </c>
    </row>
    <row r="9">
      <c r="A9" s="3959" t="inlineStr">
        <is>
          <t>QC_IS_NI</t>
        </is>
      </c>
      <c r="B9" s="3959" t="inlineStr">
        <is>
          <t>Combined IS net income tie-out</t>
        </is>
      </c>
      <c r="C9" s="3959" t="inlineStr">
        <is>
          <t>Combined | IS</t>
        </is>
      </c>
      <c r="D9" s="3959" t="inlineStr">
        <is>
          <t>'Combined | IS'!G28:K28</t>
        </is>
      </c>
      <c r="E9" s="3959" t="n">
        <v>0</v>
      </c>
      <c r="F9" s="3959">
        <f>IF(D9="","",SUMPRODUCT(ABS(INDIRECT(D9))))</f>
        <v/>
      </c>
      <c r="G9" s="3959">
        <f>IF(F9="","",IF(ABS(F9-E9)&lt;=0.01,TRUE,FALSE))</f>
        <v/>
      </c>
      <c r="H9" s="3959" t="inlineStr">
        <is>
          <t>High</t>
        </is>
      </c>
      <c r="I9" s="3959" t="inlineStr">
        <is>
          <t>Should resolve to 0</t>
        </is>
      </c>
    </row>
    <row r="10">
      <c r="A10" s="3959" t="inlineStr">
        <is>
          <t>QC_IS_EBITDA</t>
        </is>
      </c>
      <c r="B10" s="3959" t="inlineStr">
        <is>
          <t>Combined IS EBITDA tie-out</t>
        </is>
      </c>
      <c r="C10" s="3959" t="inlineStr">
        <is>
          <t>Combined | IS</t>
        </is>
      </c>
      <c r="D10" s="3959" t="inlineStr">
        <is>
          <t>'Combined | IS'!G29:K29</t>
        </is>
      </c>
      <c r="E10" s="3959" t="n">
        <v>0</v>
      </c>
      <c r="F10" s="3959">
        <f>IF(D10="","",SUMPRODUCT(ABS(INDIRECT(D10))))</f>
        <v/>
      </c>
      <c r="G10" s="3959">
        <f>IF(F10="","",IF(ABS(F10-E10)&lt;=0.01,TRUE,FALSE))</f>
        <v/>
      </c>
      <c r="H10" s="3959" t="inlineStr">
        <is>
          <t>High</t>
        </is>
      </c>
      <c r="I10" s="3959" t="inlineStr">
        <is>
          <t>Should resolve to 0</t>
        </is>
      </c>
    </row>
    <row r="11">
      <c r="A11" s="3959" t="inlineStr">
        <is>
          <t>QC_BS_BAL</t>
        </is>
      </c>
      <c r="B11" s="3959" t="inlineStr">
        <is>
          <t>Combined BS balance check</t>
        </is>
      </c>
      <c r="C11" s="3959" t="inlineStr">
        <is>
          <t>Combined | BS</t>
        </is>
      </c>
      <c r="D11" s="3959" t="inlineStr">
        <is>
          <t>'Combined | BS'!G28:K28</t>
        </is>
      </c>
      <c r="E11" s="3959" t="n">
        <v>0</v>
      </c>
      <c r="F11" s="3959">
        <f>IF(D11="","",SUMPRODUCT(ABS(INDIRECT(D11))))</f>
        <v/>
      </c>
      <c r="G11" s="3959">
        <f>IF(F11="","",IF(ABS(F11-E11)&lt;=0.01,TRUE,FALSE))</f>
        <v/>
      </c>
      <c r="H11" s="3959" t="inlineStr">
        <is>
          <t>High</t>
        </is>
      </c>
      <c r="I11" s="3959" t="inlineStr">
        <is>
          <t>Should resolve to 0</t>
        </is>
      </c>
    </row>
    <row r="12">
      <c r="A12" s="3959" t="inlineStr">
        <is>
          <t>QC_CF_NET</t>
        </is>
      </c>
      <c r="B12" s="3959" t="inlineStr">
        <is>
          <t>Combined CF net cash tie-out</t>
        </is>
      </c>
      <c r="C12" s="3959" t="inlineStr">
        <is>
          <t>Combined | CF</t>
        </is>
      </c>
      <c r="D12" s="3959" t="inlineStr">
        <is>
          <t>'Combined | CF'!G28:K28</t>
        </is>
      </c>
      <c r="E12" s="3959" t="n">
        <v>0</v>
      </c>
      <c r="F12" s="3959">
        <f>IF(D12="","",SUMPRODUCT(ABS(INDIRECT(D12))))</f>
        <v/>
      </c>
      <c r="G12" s="3959">
        <f>IF(F12="","",IF(ABS(F12-E12)&lt;=0.01,TRUE,FALSE))</f>
        <v/>
      </c>
      <c r="H12" s="3959" t="inlineStr">
        <is>
          <t>High</t>
        </is>
      </c>
      <c r="I12" s="3959" t="inlineStr">
        <is>
          <t>Should resolve to 0</t>
        </is>
      </c>
    </row>
    <row r="13">
      <c r="A13" s="3959" t="inlineStr">
        <is>
          <t>QC_QOFE_REV</t>
        </is>
      </c>
      <c r="B13" s="3959" t="inlineStr">
        <is>
          <t>QofE Summary revenue tie-out</t>
        </is>
      </c>
      <c r="C13" s="3959" t="inlineStr">
        <is>
          <t>QofE | Summary</t>
        </is>
      </c>
      <c r="D13" s="3959" t="inlineStr">
        <is>
          <t>'QofE | Summary'!G20:J20</t>
        </is>
      </c>
      <c r="E13" s="3959" t="n">
        <v>0</v>
      </c>
      <c r="F13" s="3959">
        <f>IF(D13="","",SUMPRODUCT(ABS(INDIRECT(D13))))</f>
        <v/>
      </c>
      <c r="G13" s="3959">
        <f>IF(F13="","",IF(ABS(F13-E13)&lt;=0.01,TRUE,FALSE))</f>
        <v/>
      </c>
      <c r="H13" s="3959" t="inlineStr">
        <is>
          <t>Med</t>
        </is>
      </c>
      <c r="I13" s="3959" t="inlineStr">
        <is>
          <t>Should resolve to 0 once linked</t>
        </is>
      </c>
    </row>
    <row r="14">
      <c r="A14" s="3959" t="inlineStr">
        <is>
          <t>QC_QOFE_EB</t>
        </is>
      </c>
      <c r="B14" s="3959" t="inlineStr">
        <is>
          <t>QofE Summary EBITDA tie-out</t>
        </is>
      </c>
      <c r="C14" s="3959" t="inlineStr">
        <is>
          <t>QofE | Summary</t>
        </is>
      </c>
      <c r="D14" s="3959" t="inlineStr">
        <is>
          <t>'QofE | Summary'!G21:J21</t>
        </is>
      </c>
      <c r="E14" s="3959" t="n">
        <v>0</v>
      </c>
      <c r="F14" s="3959">
        <f>IF(D14="","",SUMPRODUCT(ABS(INDIRECT(D14))))</f>
        <v/>
      </c>
      <c r="G14" s="3959">
        <f>IF(F14="","",IF(ABS(F14-E14)&lt;=0.01,TRUE,FALSE))</f>
        <v/>
      </c>
      <c r="H14" s="3959" t="inlineStr">
        <is>
          <t>Med</t>
        </is>
      </c>
      <c r="I14" s="3959" t="inlineStr">
        <is>
          <t>Should resolve to 0 once linked</t>
        </is>
      </c>
    </row>
    <row r="15">
      <c r="A15" s="3959" t="inlineStr">
        <is>
          <t>QC_QOFE_DET</t>
        </is>
      </c>
      <c r="B15" s="3959" t="inlineStr">
        <is>
          <t>QofE Detail adjusted EBITDA tie-out</t>
        </is>
      </c>
      <c r="C15" s="3959" t="inlineStr">
        <is>
          <t>QofE | Detail</t>
        </is>
      </c>
      <c r="D15" s="3959" t="inlineStr">
        <is>
          <t>'QofE | Detail'!G28:K28</t>
        </is>
      </c>
      <c r="E15" s="3959" t="n">
        <v>0</v>
      </c>
      <c r="F15" s="3959">
        <f>IF(D15="","",SUMPRODUCT(ABS(INDIRECT(D15))))</f>
        <v/>
      </c>
      <c r="G15" s="3959">
        <f>IF(F15="","",IF(ABS(F15-E15)&lt;=0.01,TRUE,FALSE))</f>
        <v/>
      </c>
      <c r="H15" s="3959" t="inlineStr">
        <is>
          <t>Med</t>
        </is>
      </c>
      <c r="I15" s="3959" t="inlineStr">
        <is>
          <t>Should resolve to 0 once linked</t>
        </is>
      </c>
    </row>
    <row r="16">
      <c r="A16" s="3959" t="inlineStr">
        <is>
          <t>QC_NWC_SUM</t>
        </is>
      </c>
      <c r="B16" s="3959" t="inlineStr">
        <is>
          <t>NWC Summary tie-out</t>
        </is>
      </c>
      <c r="C16" s="3959" t="inlineStr">
        <is>
          <t>NWC | Summary</t>
        </is>
      </c>
      <c r="D16" s="3959" t="inlineStr">
        <is>
          <t>'NWC | Summary'!G17:K17</t>
        </is>
      </c>
      <c r="E16" s="3959" t="n">
        <v>0</v>
      </c>
      <c r="F16" s="3959">
        <f>IF(D16="","",SUMPRODUCT(ABS(INDIRECT(D16))))</f>
        <v/>
      </c>
      <c r="G16" s="3959">
        <f>IF(F16="","",IF(ABS(F16-E16)&lt;=0.01,TRUE,FALSE))</f>
        <v/>
      </c>
      <c r="H16" s="3959" t="inlineStr">
        <is>
          <t>High</t>
        </is>
      </c>
      <c r="I16" s="3959" t="inlineStr">
        <is>
          <t>Should resolve to 0 once linked</t>
        </is>
      </c>
    </row>
    <row r="17">
      <c r="A17" s="3959" t="inlineStr">
        <is>
          <t>QC_NWC_DET</t>
        </is>
      </c>
      <c r="B17" s="3959" t="inlineStr">
        <is>
          <t>NWC Detail tie-out</t>
        </is>
      </c>
      <c r="C17" s="3959" t="inlineStr">
        <is>
          <t>NWC | Detail</t>
        </is>
      </c>
      <c r="D17" s="3959" t="inlineStr">
        <is>
          <t>'NWC | Detail'!G28:K28</t>
        </is>
      </c>
      <c r="E17" s="3959" t="n">
        <v>0</v>
      </c>
      <c r="F17" s="3959">
        <f>IF(D17="","",SUMPRODUCT(ABS(INDIRECT(D17))))</f>
        <v/>
      </c>
      <c r="G17" s="3959">
        <f>IF(F17="","",IF(ABS(F17-E17)&lt;=0.01,TRUE,FALSE))</f>
        <v/>
      </c>
      <c r="H17" s="3959" t="inlineStr">
        <is>
          <t>High</t>
        </is>
      </c>
      <c r="I17" s="3959" t="inlineStr">
        <is>
          <t>Should resolve to 0 once linked</t>
        </is>
      </c>
    </row>
    <row r="18">
      <c r="A18" s="3959" t="inlineStr">
        <is>
          <t>QC_STRAT_BS</t>
        </is>
      </c>
      <c r="B18" s="3959" t="inlineStr">
        <is>
          <t>Stratified BS tie-out</t>
        </is>
      </c>
      <c r="C18" s="3959" t="inlineStr">
        <is>
          <t>Stratified | BS</t>
        </is>
      </c>
      <c r="D18" s="3959" t="inlineStr">
        <is>
          <t>'Stratified | BS'!G28:K28</t>
        </is>
      </c>
      <c r="E18" s="3959" t="n">
        <v>0</v>
      </c>
      <c r="F18" s="3959">
        <f>IF(D18="","",SUMPRODUCT(ABS(INDIRECT(D18))))</f>
        <v/>
      </c>
      <c r="G18" s="3959">
        <f>IF(F18="","",IF(ABS(F18-E18)&lt;=0.01,TRUE,FALSE))</f>
        <v/>
      </c>
      <c r="H18" s="3959" t="inlineStr">
        <is>
          <t>High</t>
        </is>
      </c>
      <c r="I18" s="3959" t="inlineStr">
        <is>
          <t>Should resolve to 0 once linked</t>
        </is>
      </c>
    </row>
    <row r="19">
      <c r="A19" s="3959" t="inlineStr">
        <is>
          <t>QC_NETDEBT</t>
        </is>
      </c>
      <c r="B19" s="3959" t="inlineStr">
        <is>
          <t>Net debt tie-out</t>
        </is>
      </c>
      <c r="C19" s="3959" t="inlineStr">
        <is>
          <t>Net_debt</t>
        </is>
      </c>
      <c r="D19" s="3959" t="inlineStr">
        <is>
          <t>'Net_debt'!G28:K28</t>
        </is>
      </c>
      <c r="E19" s="3959" t="n">
        <v>0</v>
      </c>
      <c r="F19" s="3959">
        <f>IF(D19="","",SUMPRODUCT(ABS(INDIRECT(D19))))</f>
        <v/>
      </c>
      <c r="G19" s="3959">
        <f>IF(F19="","",IF(ABS(F19-E19)&lt;=0.01,TRUE,FALSE))</f>
        <v/>
      </c>
      <c r="H19" s="3959" t="inlineStr">
        <is>
          <t>High</t>
        </is>
      </c>
      <c r="I19" s="3959" t="inlineStr">
        <is>
          <t>Should resolve to 0 once linked</t>
        </is>
      </c>
    </row>
    <row r="20">
      <c r="A20" s="3959" t="inlineStr">
        <is>
          <t>QC_RECONS_IS</t>
        </is>
      </c>
      <c r="B20" s="3959" t="inlineStr">
        <is>
          <t>Recons IS section checks</t>
        </is>
      </c>
      <c r="C20" s="3959" t="inlineStr">
        <is>
          <t>Recons</t>
        </is>
      </c>
      <c r="D20" s="3959" t="inlineStr">
        <is>
          <t>'Recons'!H9:H13</t>
        </is>
      </c>
      <c r="E20" s="3959" t="n">
        <v>0</v>
      </c>
      <c r="F20" s="3959">
        <f>IF(D20="","",SUMPRODUCT(ABS(INDIRECT(D20))))</f>
        <v/>
      </c>
      <c r="G20" s="3959">
        <f>IF(F20="","",IF(ABS(F20-E20)&lt;=0.01,TRUE,FALSE))</f>
        <v/>
      </c>
      <c r="H20" s="3959" t="inlineStr">
        <is>
          <t>Med</t>
        </is>
      </c>
      <c r="I20" s="3959" t="inlineStr">
        <is>
          <t>Should resolve to 0 once linked</t>
        </is>
      </c>
    </row>
    <row r="21">
      <c r="A21" s="3959" t="inlineStr">
        <is>
          <t>QC_RECONS_BS</t>
        </is>
      </c>
      <c r="B21" s="3959" t="inlineStr">
        <is>
          <t>Recons BS section checks</t>
        </is>
      </c>
      <c r="C21" s="3959" t="inlineStr">
        <is>
          <t>Recons</t>
        </is>
      </c>
      <c r="D21" s="3959" t="inlineStr">
        <is>
          <t>'Recons'!H18:H22</t>
        </is>
      </c>
      <c r="E21" s="3959" t="n">
        <v>0</v>
      </c>
      <c r="F21" s="3959">
        <f>IF(D21="","",SUMPRODUCT(ABS(INDIRECT(D21))))</f>
        <v/>
      </c>
      <c r="G21" s="3959">
        <f>IF(F21="","",IF(ABS(F21-E21)&lt;=0.01,TRUE,FALSE))</f>
        <v/>
      </c>
      <c r="H21" s="3959" t="inlineStr">
        <is>
          <t>Med</t>
        </is>
      </c>
      <c r="I21" s="3959" t="inlineStr">
        <is>
          <t>Should resolve to 0 once linked</t>
        </is>
      </c>
    </row>
    <row r="22">
      <c r="A22" s="3959" t="inlineStr">
        <is>
          <t>QC_RECONS_CF</t>
        </is>
      </c>
      <c r="B22" s="3959" t="inlineStr">
        <is>
          <t>Recons CF section checks</t>
        </is>
      </c>
      <c r="C22" s="3959" t="inlineStr">
        <is>
          <t>Recons</t>
        </is>
      </c>
      <c r="D22" s="3959" t="inlineStr">
        <is>
          <t>'Recons'!H27:H31</t>
        </is>
      </c>
      <c r="E22" s="3959" t="n">
        <v>0</v>
      </c>
      <c r="F22" s="3959">
        <f>IF(D22="","",SUMPRODUCT(ABS(INDIRECT(D22))))</f>
        <v/>
      </c>
      <c r="G22" s="3959">
        <f>IF(F22="","",IF(ABS(F22-E22)&lt;=0.01,TRUE,FALSE))</f>
        <v/>
      </c>
      <c r="H22" s="3959" t="inlineStr">
        <is>
          <t>Med</t>
        </is>
      </c>
      <c r="I22" s="3959" t="inlineStr">
        <is>
          <t>Should resolve to 0 once linked</t>
        </is>
      </c>
    </row>
    <row r="23">
      <c r="A23" s="3959" t="inlineStr">
        <is>
          <t>QC_RECONS_OTH</t>
        </is>
      </c>
      <c r="B23" s="3959" t="inlineStr">
        <is>
          <t>Recons Other section checks</t>
        </is>
      </c>
      <c r="C23" s="3959" t="inlineStr">
        <is>
          <t>Recons</t>
        </is>
      </c>
      <c r="D23" s="3959" t="inlineStr">
        <is>
          <t>'Recons'!H36:H40</t>
        </is>
      </c>
      <c r="E23" s="3959" t="n">
        <v>0</v>
      </c>
      <c r="F23" s="3959">
        <f>IF(D23="","",SUMPRODUCT(ABS(INDIRECT(D23))))</f>
        <v/>
      </c>
      <c r="G23" s="3959">
        <f>IF(F23="","",IF(ABS(F23-E23)&lt;=0.01,TRUE,FALSE))</f>
        <v/>
      </c>
      <c r="H23" s="3959" t="inlineStr">
        <is>
          <t>Med</t>
        </is>
      </c>
      <c r="I23" s="3959" t="inlineStr">
        <is>
          <t>Should resolve to 0 once linked</t>
        </is>
      </c>
    </row>
    <row r="24">
      <c r="A24" s="3959" t="inlineStr">
        <is>
          <t>QC_AGING_AR</t>
        </is>
      </c>
      <c r="B24" s="3959" t="inlineStr">
        <is>
          <t>AR aging tie-out check</t>
        </is>
      </c>
      <c r="C24" s="3959" t="inlineStr">
        <is>
          <t>Agings</t>
        </is>
      </c>
      <c r="D24" s="3959" t="inlineStr">
        <is>
          <t>'Agings'!J17</t>
        </is>
      </c>
      <c r="E24" s="3959" t="n">
        <v>0</v>
      </c>
      <c r="F24" s="3959">
        <f>IF(D24="","",SUMPRODUCT(ABS(INDIRECT(D24))))</f>
        <v/>
      </c>
      <c r="G24" s="3959">
        <f>IF(F24="","",IF(ABS(F24-E24)&lt;=0.01,TRUE,FALSE))</f>
        <v/>
      </c>
      <c r="H24" s="3959" t="inlineStr">
        <is>
          <t>High</t>
        </is>
      </c>
      <c r="I24" s="3959" t="inlineStr">
        <is>
          <t>Should resolve to 0 once linked</t>
        </is>
      </c>
    </row>
    <row r="25">
      <c r="A25" s="3959" t="inlineStr">
        <is>
          <t>QC_AGING_AP</t>
        </is>
      </c>
      <c r="B25" s="3959" t="inlineStr">
        <is>
          <t>AP aging tie-out check</t>
        </is>
      </c>
      <c r="C25" s="3959" t="inlineStr">
        <is>
          <t>Agings</t>
        </is>
      </c>
      <c r="D25" s="3959" t="inlineStr">
        <is>
          <t>'Agings'!J33</t>
        </is>
      </c>
      <c r="E25" s="3959" t="n">
        <v>0</v>
      </c>
      <c r="F25" s="3959">
        <f>IF(D25="","",SUMPRODUCT(ABS(INDIRECT(D25))))</f>
        <v/>
      </c>
      <c r="G25" s="3959">
        <f>IF(F25="","",IF(ABS(F25-E25)&lt;=0.01,TRUE,FALSE))</f>
        <v/>
      </c>
      <c r="H25" s="3959" t="inlineStr">
        <is>
          <t>High</t>
        </is>
      </c>
      <c r="I25" s="3959" t="inlineStr">
        <is>
          <t>Should resolve to 0 once linked</t>
        </is>
      </c>
    </row>
    <row r="26">
      <c r="A26" s="3959" t="inlineStr">
        <is>
          <t>QC_AGING_ALL</t>
        </is>
      </c>
      <c r="B26" s="3959" t="inlineStr">
        <is>
          <t>Combined aging tie-out check</t>
        </is>
      </c>
      <c r="C26" s="3959" t="inlineStr">
        <is>
          <t>Agings</t>
        </is>
      </c>
      <c r="D26" s="3959" t="inlineStr">
        <is>
          <t>'Agings'!J40</t>
        </is>
      </c>
      <c r="E26" s="3959" t="n">
        <v>0</v>
      </c>
      <c r="F26" s="3959">
        <f>IF(D26="","",SUMPRODUCT(ABS(INDIRECT(D26))))</f>
        <v/>
      </c>
      <c r="G26" s="3959">
        <f>IF(F26="","",IF(ABS(F26-E26)&lt;=0.01,TRUE,FALSE))</f>
        <v/>
      </c>
      <c r="H26" s="3959" t="inlineStr">
        <is>
          <t>High</t>
        </is>
      </c>
      <c r="I26" s="3959" t="inlineStr">
        <is>
          <t>Should resolve to 0 once linked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2026-02-18T20:14:08Z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