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GM | LOB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GM | LOB</t>
        </is>
      </c>
    </row>
    <row r="2">
      <c r="A2" s="3978" t="inlineStr">
        <is>
          <t>Source: &lt;document_source&gt;</t>
        </is>
      </c>
    </row>
    <row r="4">
      <c r="A4" s="3983" t="inlineStr">
        <is>
          <t>Gross margin by LOB scaffold with two-LOB starter structure.</t>
        </is>
      </c>
    </row>
    <row r="7">
      <c r="A7" s="3979" t="inlineStr">
        <is>
          <t>GM | LOB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GMLOB_1_REV</t>
        </is>
      </c>
      <c r="B9" s="3959" t="inlineStr">
        <is>
          <t>LOB 1 revenue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GMLOB_1_COGS</t>
        </is>
      </c>
      <c r="B10" s="3959" t="inlineStr">
        <is>
          <t>LOB 1 COGS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GMLOB_1_GM</t>
        </is>
      </c>
      <c r="B11" s="3959" t="inlineStr">
        <is>
          <t>LOB 1 gross profit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IF(COUNT(G9:G10)=0,"",G9+G10)</f>
        <v/>
      </c>
      <c r="H11" s="3929">
        <f>IF(COUNT(H9:H10)=0,"",H9+H10)</f>
        <v/>
      </c>
      <c r="I11" s="3929">
        <f>IF(COUNT(I9:I10)=0,"",I9+I10)</f>
        <v/>
      </c>
      <c r="J11" s="3929">
        <f>IF(COUNT(J9:J10)=0,"",J9+J10)</f>
        <v/>
      </c>
    </row>
    <row r="12">
      <c r="A12" s="3959" t="inlineStr">
        <is>
          <t>GMLOB_2_REV</t>
        </is>
      </c>
      <c r="B12" s="3959" t="inlineStr">
        <is>
          <t>LOB 2 revenue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GMLOB_2_COGS</t>
        </is>
      </c>
      <c r="B13" s="3959" t="inlineStr">
        <is>
          <t>LOB 2 COGS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GMLOB_2_GM</t>
        </is>
      </c>
      <c r="B14" s="3959" t="inlineStr">
        <is>
          <t>LOB 2 gross profit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IF(COUNT(G12:G13)=0,"",G12+G13)</f>
        <v/>
      </c>
      <c r="H14" s="3929">
        <f>IF(COUNT(H12:H13)=0,"",H12+H13)</f>
        <v/>
      </c>
      <c r="I14" s="3929">
        <f>IF(COUNT(I12:I13)=0,"",I12+I13)</f>
        <v/>
      </c>
      <c r="J14" s="3929">
        <f>IF(COUNT(J12:J13)=0,"",J12+J13)</f>
        <v/>
      </c>
    </row>
    <row r="15">
      <c r="A15" s="3959" t="inlineStr">
        <is>
          <t>GMLOB_TOTAL</t>
        </is>
      </c>
      <c r="B15" s="3959" t="inlineStr">
        <is>
          <t>Total gross profit</t>
        </is>
      </c>
      <c r="C15" s="3959" t="n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29">
        <f>IF(COUNT(G11:G14)=0,"",SUM(G11,G14))</f>
        <v/>
      </c>
      <c r="H15" s="3929">
        <f>IF(COUNT(H11:H14)=0,"",SUM(H11,H14))</f>
        <v/>
      </c>
      <c r="I15" s="3929">
        <f>IF(COUNT(I11:I14)=0,"",SUM(I11,I14))</f>
        <v/>
      </c>
      <c r="J15" s="3929">
        <f>IF(COUNT(J11:J14)=0,"",SUM(J11,J14))</f>
        <v/>
      </c>
    </row>
    <row r="16">
      <c r="A16" s="3959" t="inlineStr">
        <is>
          <t>GMLOB_MARGIN</t>
        </is>
      </c>
      <c r="B16" s="3959" t="inlineStr">
        <is>
          <t>Gross margin %</t>
        </is>
      </c>
      <c r="C16" s="3959" t="n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29">
        <f>IF(OR(G15="",G9="",G12="",(G9+G12)=0),"",G15/(G9+G12))</f>
        <v/>
      </c>
      <c r="H16" s="3929">
        <f>IF(OR(H15="",H9="",H12="",(H9+H12)=0),"",H15/(H9+H12))</f>
        <v/>
      </c>
      <c r="I16" s="3929">
        <f>IF(OR(I15="",I9="",I12="",(I9+I12)=0),"",I15/(I9+I12))</f>
        <v/>
      </c>
      <c r="J16" s="3929">
        <f>IF(OR(J15="",J9="",J12="",(J9+J12)=0),"",J15/(J9+J12))</f>
        <v/>
      </c>
    </row>
    <row r="27">
      <c r="A27" s="3979" t="inlineStr">
        <is>
          <t>GM_LOB_CHECKS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IF(G15="","",G15-(G11+G14))</f>
        <v/>
      </c>
      <c r="H28" s="3961">
        <f>IF(H15="","",H15-(H11+H14))</f>
        <v/>
      </c>
      <c r="I28" s="3961">
        <f>IF(I15="","",I15-(I11+I14))</f>
        <v/>
      </c>
      <c r="J28" s="3961">
        <f>IF(J15="","",J15-(J11+J14))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IF(OR(G16="",G15="",G9="",G12="",(G9+G12)=0),"",G16-(G15/(G9+G12)))</f>
        <v/>
      </c>
      <c r="H29" s="3961">
        <f>IF(OR(H16="",H15="",H9="",H12="",(H9+H12)=0),"",H16-(H15/(H9+H12)))</f>
        <v/>
      </c>
      <c r="I29" s="3961">
        <f>IF(OR(I16="",I15="",I9="",I12="",(I9+I12)=0),"",I16-(I15/(I9+I12)))</f>
        <v/>
      </c>
      <c r="J29" s="3961">
        <f>IF(OR(J16="",J15="",J9="",J12="",(J9+J12)=0),"",J16-(J15/(J9+J12)))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2026-02-18T20:14:07Z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