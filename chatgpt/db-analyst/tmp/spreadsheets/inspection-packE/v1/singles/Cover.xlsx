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>
        <f>HYPERLINK(#'Control | Setup'!A1,Go to Control | Setup)</f>
        <v/>
      </c>
      <c r="C9" s="3959">
        <f>'Control | QC'!B4</f>
        <v/>
      </c>
      <c r="D9" s="3959" t="inlineStr">
        <is>
          <t>Template controls and periods</t>
        </is>
      </c>
      <c r="E9" s="3959">
        <f>NOW()</f>
        <v/>
      </c>
      <c r="F9" s="3959" t="inlineStr">
        <is>
          <t>&lt;preparer&gt;</t>
        </is>
      </c>
      <c r="G9" s="3959" t="inlineStr">
        <is>
          <t>Core</t>
        </is>
      </c>
      <c r="H9" s="3959">
        <f>IF(C3="PASS",TRUE,FALSE)</f>
        <v/>
      </c>
    </row>
    <row r="10">
      <c r="A10" s="3959" t="inlineStr">
        <is>
          <t>Financials</t>
        </is>
      </c>
      <c r="B10" s="3959">
        <f>HYPERLINK(#'Combined | IS'!A1,Go to Combined | IS)</f>
        <v/>
      </c>
      <c r="C10" s="3959">
        <f>'Control | QC'!B4</f>
        <v/>
      </c>
      <c r="D10" s="3959" t="inlineStr">
        <is>
          <t>IS/BS/CF scaffolds</t>
        </is>
      </c>
      <c r="E10" s="3959">
        <f>NOW()</f>
        <v/>
      </c>
      <c r="F10" s="3959" t="inlineStr">
        <is>
          <t>&lt;preparer&gt;</t>
        </is>
      </c>
      <c r="G10" s="3959" t="inlineStr">
        <is>
          <t>Core</t>
        </is>
      </c>
      <c r="H10" s="3959">
        <f>IF(C10="PASS",TRUE,FALSE)</f>
        <v/>
      </c>
    </row>
    <row r="11">
      <c r="A11" s="3959" t="inlineStr">
        <is>
          <t>QofE</t>
        </is>
      </c>
      <c r="B11" s="3959">
        <f>HYPERLINK(#'QofE | Summary'!A1,Go to QofE | Summary)</f>
        <v/>
      </c>
      <c r="C11" s="3959">
        <f>'Control | QC'!B4</f>
        <v/>
      </c>
      <c r="D11" s="3959" t="inlineStr">
        <is>
          <t>QofE summary and detail</t>
        </is>
      </c>
      <c r="E11" s="3959">
        <f>NOW()</f>
        <v/>
      </c>
      <c r="F11" s="3959" t="inlineStr">
        <is>
          <t>&lt;preparer&gt;</t>
        </is>
      </c>
      <c r="G11" s="3959" t="inlineStr">
        <is>
          <t>Core</t>
        </is>
      </c>
      <c r="H11" s="3959">
        <f>IF(C11="PASS",TRUE,FALSE)</f>
        <v/>
      </c>
    </row>
    <row r="12">
      <c r="A12" s="3959" t="inlineStr">
        <is>
          <t>NWC</t>
        </is>
      </c>
      <c r="B12" s="3959">
        <f>HYPERLINK(#'NWC | Summary'!A1,Go to NWC | Summary)</f>
        <v/>
      </c>
      <c r="C12" s="3959">
        <f>'Control | QC'!B4</f>
        <v/>
      </c>
      <c r="D12" s="3959" t="inlineStr">
        <is>
          <t>NWC summary/detail/days</t>
        </is>
      </c>
      <c r="E12" s="3959">
        <f>NOW()</f>
        <v/>
      </c>
      <c r="F12" s="3959" t="inlineStr">
        <is>
          <t>&lt;preparer&gt;</t>
        </is>
      </c>
      <c r="G12" s="3959" t="inlineStr">
        <is>
          <t>Core</t>
        </is>
      </c>
      <c r="H12" s="3959">
        <f>IF(C12="PASS",TRUE,FALSE)</f>
        <v/>
      </c>
    </row>
    <row r="13">
      <c r="A13" s="3959" t="inlineStr">
        <is>
          <t>Net debt</t>
        </is>
      </c>
      <c r="B13" s="3959">
        <f>HYPERLINK(#'Net_debt'!A1,Go to Net_debt)</f>
        <v/>
      </c>
      <c r="C13" s="3959">
        <f>'Control | QC'!B4</f>
        <v/>
      </c>
      <c r="D13" s="3959" t="inlineStr">
        <is>
          <t>Net debt scaffold</t>
        </is>
      </c>
      <c r="E13" s="3959">
        <f>NOW()</f>
        <v/>
      </c>
      <c r="F13" s="3959" t="inlineStr">
        <is>
          <t>&lt;preparer&gt;</t>
        </is>
      </c>
      <c r="G13" s="3959" t="inlineStr">
        <is>
          <t>Core</t>
        </is>
      </c>
      <c r="H13" s="3959">
        <f>IF(C13="PASS",TRUE,FALSE)</f>
        <v/>
      </c>
    </row>
    <row r="14">
      <c r="A14" s="3959" t="inlineStr">
        <is>
          <t>Recons</t>
        </is>
      </c>
      <c r="B14" s="3959">
        <f>HYPERLINK(#'Recons'!A1,Go to Recons)</f>
        <v/>
      </c>
      <c r="C14" s="3959">
        <f>'Control | QC'!B4</f>
        <v/>
      </c>
      <c r="D14" s="3959" t="inlineStr">
        <is>
          <t>Cross-tab reconciliations</t>
        </is>
      </c>
      <c r="E14" s="3959">
        <f>NOW()</f>
        <v/>
      </c>
      <c r="F14" s="3959" t="inlineStr">
        <is>
          <t>&lt;preparer&gt;</t>
        </is>
      </c>
      <c r="G14" s="3959" t="inlineStr">
        <is>
          <t>Core</t>
        </is>
      </c>
      <c r="H14" s="3959">
        <f>IF(C14="PASS",TRUE,FALSE)</f>
        <v/>
      </c>
    </row>
    <row r="15">
      <c r="A15" s="3959" t="inlineStr">
        <is>
          <t>Agings</t>
        </is>
      </c>
      <c r="B15" s="3959">
        <f>HYPERLINK(#'Agings'!A1,Go to Agings)</f>
        <v/>
      </c>
      <c r="C15" s="3959">
        <f>'Control | QC'!B4</f>
        <v/>
      </c>
      <c r="D15" s="3959" t="inlineStr">
        <is>
          <t>AR/AP aging tie-outs</t>
        </is>
      </c>
      <c r="E15" s="3959">
        <f>NOW()</f>
        <v/>
      </c>
      <c r="F15" s="3959" t="inlineStr">
        <is>
          <t>&lt;preparer&gt;</t>
        </is>
      </c>
      <c r="G15" s="3959" t="inlineStr">
        <is>
          <t>Core</t>
        </is>
      </c>
      <c r="H15" s="3959">
        <f>IF(C15="PASS",TRUE,FALSE)</f>
        <v/>
      </c>
    </row>
    <row r="16">
      <c r="A16" s="3959" t="inlineStr">
        <is>
          <t>Modules</t>
        </is>
      </c>
      <c r="B16" s="3959">
        <f>HYPERLINK(#'Personnel'!A1,Go to Personnel)</f>
        <v/>
      </c>
      <c r="C16" s="3959">
        <f>'Control | QC'!B4</f>
        <v/>
      </c>
      <c r="D16" s="3959" t="inlineStr">
        <is>
          <t>Base module library tabs</t>
        </is>
      </c>
      <c r="E16" s="3959">
        <f>NOW()</f>
        <v/>
      </c>
      <c r="F16" s="3959" t="inlineStr">
        <is>
          <t>&lt;preparer&gt;</t>
        </is>
      </c>
      <c r="G16" s="3959" t="inlineStr">
        <is>
          <t>Core</t>
        </is>
      </c>
      <c r="H16" s="3959">
        <f>IF(C16="PASS",TRUE,FALSE)</f>
        <v/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>
        <f>'Control | QC'!B4</f>
        <v/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>
        <f>COUNTIF('Control | QC'!G9:G200,FALSE)</f>
        <v/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