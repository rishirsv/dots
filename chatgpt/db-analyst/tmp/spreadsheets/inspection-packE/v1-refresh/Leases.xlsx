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Leases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Leases</t>
        </is>
      </c>
    </row>
    <row r="2">
      <c r="A2" s="3978" t="inlineStr">
        <is>
          <t>Source: &lt;document_source&gt;</t>
        </is>
      </c>
    </row>
    <row r="4">
      <c r="A4" s="3983" t="inlineStr">
        <is>
          <t>Leases module scaffold for lease run-rate and balance tie-outs.</t>
        </is>
      </c>
    </row>
    <row r="7">
      <c r="A7" s="3979" t="inlineStr">
        <is>
          <t>Leases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LEASE_EXP</t>
        </is>
      </c>
      <c r="B9" s="3959" t="inlineStr">
        <is>
          <t>Lease expense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LEASE_ST_LIAB</t>
        </is>
      </c>
      <c r="B10" s="3959" t="inlineStr">
        <is>
          <t>Lease liability - current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LEASE_LT_LIAB</t>
        </is>
      </c>
      <c r="B11" s="3959" t="inlineStr">
        <is>
          <t>Lease liability - non-current</t>
        </is>
      </c>
      <c r="C11" s="3959" t="n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</row>
    <row r="12">
      <c r="A12" s="3959" t="inlineStr">
        <is>
          <t>LEASE_TOTAL_LIAB</t>
        </is>
      </c>
      <c r="B12" s="3959" t="inlineStr">
        <is>
          <t>Total lease liability</t>
        </is>
      </c>
      <c r="C12" s="3959" t="n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29">
        <f>IF(COUNT(G10:G11)=0,"",SUM(G10:G11))</f>
        <v/>
      </c>
      <c r="H12" s="3929">
        <f>IF(COUNT(H10:H11)=0,"",SUM(H10:H11))</f>
        <v/>
      </c>
      <c r="I12" s="3929">
        <f>IF(COUNT(I10:I11)=0,"",SUM(I10:I11))</f>
        <v/>
      </c>
      <c r="J12" s="3929">
        <f>IF(COUNT(J10:J11)=0,"",SUM(J10:J11))</f>
        <v/>
      </c>
    </row>
    <row r="13">
      <c r="A13" s="3959" t="inlineStr">
        <is>
          <t>LEASE_INT</t>
        </is>
      </c>
      <c r="B13" s="3959" t="inlineStr">
        <is>
          <t>Lease interest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</row>
    <row r="14">
      <c r="A14" s="3959" t="inlineStr">
        <is>
          <t>LEASE_CASH</t>
        </is>
      </c>
      <c r="B14" s="3959" t="inlineStr">
        <is>
          <t>Lease cash burden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IF(COUNT(G9:G13)=0,"",SUM(G9,G13))</f>
        <v/>
      </c>
      <c r="H14" s="3929">
        <f>IF(COUNT(H9:H13)=0,"",SUM(H9,H13))</f>
        <v/>
      </c>
      <c r="I14" s="3929">
        <f>IF(COUNT(I9:I13)=0,"",SUM(I9,I13))</f>
        <v/>
      </c>
      <c r="J14" s="3929">
        <f>IF(COUNT(J9:J13)=0,"",SUM(J9,J13))</f>
        <v/>
      </c>
    </row>
    <row r="27">
      <c r="A27" s="3979" t="inlineStr">
        <is>
          <t>LEASES_CHECKS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IF(G12="","",G12-(G10+G11))</f>
        <v/>
      </c>
      <c r="H28" s="3961">
        <f>IF(H12="","",H12-(H10+H11))</f>
        <v/>
      </c>
      <c r="I28" s="3961">
        <f>IF(I12="","",I12-(I10+I11))</f>
        <v/>
      </c>
      <c r="J28" s="3961">
        <f>IF(J12="","",J12-(J10+J11))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IF(G14="","",G14-(G9+G13))</f>
        <v/>
      </c>
      <c r="H29" s="3961">
        <f>IF(H14="","",H14-(H9+H13))</f>
        <v/>
      </c>
      <c r="I29" s="3961">
        <f>IF(I14="","",I14-(I9+I13))</f>
        <v/>
      </c>
      <c r="J29" s="3961">
        <f>IF(J14="","",J14-(J9+J13))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2026-02-18T20:17:25Z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