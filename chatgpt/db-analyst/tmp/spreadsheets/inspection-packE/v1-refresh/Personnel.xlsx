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Personnel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5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zoomScale="100" zoomScaleNormal="10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7" customWidth="1" min="4" max="4"/>
    <col width="10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24" customHeight="1">
      <c r="A1" s="3921" t="inlineStr">
        <is>
          <t>Personnel</t>
        </is>
      </c>
    </row>
    <row r="2">
      <c r="A2" s="3978" t="inlineStr">
        <is>
          <t>Source: &lt;document_source&gt;</t>
        </is>
      </c>
    </row>
    <row r="4">
      <c r="A4" s="3983" t="inlineStr">
        <is>
          <t>Personnel module scaffold for headcount and compensation analytics.</t>
        </is>
      </c>
    </row>
    <row r="7">
      <c r="A7" s="3979" t="inlineStr">
        <is>
          <t>Personnel | Main</t>
        </is>
      </c>
      <c r="B7" s="3979" t="n"/>
      <c r="C7" s="3979" t="n"/>
      <c r="D7" s="3979" t="n"/>
      <c r="E7" s="3979" t="n"/>
      <c r="F7" s="3979" t="n"/>
      <c r="G7" s="3979" t="n"/>
      <c r="H7" s="3979" t="n"/>
      <c r="I7" s="3979" t="n"/>
      <c r="J7" s="3979" t="n"/>
    </row>
    <row r="8">
      <c r="A8" s="3923" t="inlineStr">
        <is>
          <t>LineKey</t>
        </is>
      </c>
      <c r="B8" s="3923" t="inlineStr">
        <is>
          <t>$'000</t>
        </is>
      </c>
      <c r="C8" s="3923" t="inlineStr">
        <is>
          <t>TB Account No.</t>
        </is>
      </c>
      <c r="D8" s="3923" t="inlineStr">
        <is>
          <t>Sign</t>
        </is>
      </c>
      <c r="E8" s="3923" t="inlineStr">
        <is>
          <t>Source</t>
        </is>
      </c>
      <c r="F8" s="3923" t="inlineStr">
        <is>
          <t>Comments</t>
        </is>
      </c>
      <c r="G8" s="3923" t="inlineStr">
        <is>
          <t>FY-3</t>
        </is>
      </c>
      <c r="H8" s="3923" t="inlineStr">
        <is>
          <t>FY-2</t>
        </is>
      </c>
      <c r="I8" s="3923" t="inlineStr">
        <is>
          <t>FY-1</t>
        </is>
      </c>
      <c r="J8" s="3923" t="inlineStr">
        <is>
          <t>TTM</t>
        </is>
      </c>
    </row>
    <row r="9">
      <c r="A9" s="3959" t="inlineStr">
        <is>
          <t>PER_HC</t>
        </is>
      </c>
      <c r="B9" s="3959" t="inlineStr">
        <is>
          <t>Headcount</t>
        </is>
      </c>
      <c r="C9" s="3959" t="n"/>
      <c r="D9" s="3959" t="inlineStr">
        <is>
          <t>+</t>
        </is>
      </c>
      <c r="E9" s="3959" t="inlineStr">
        <is>
          <t>Input</t>
        </is>
      </c>
      <c r="F9" s="3959" t="inlineStr"/>
      <c r="G9" s="3929" t="n"/>
      <c r="H9" s="3929" t="n"/>
      <c r="I9" s="3929" t="n"/>
      <c r="J9" s="3929" t="n"/>
    </row>
    <row r="10">
      <c r="A10" s="3959" t="inlineStr">
        <is>
          <t>PER_PAYROLL</t>
        </is>
      </c>
      <c r="B10" s="3959" t="inlineStr">
        <is>
          <t>Payroll</t>
        </is>
      </c>
      <c r="C10" s="3959" t="n"/>
      <c r="D10" s="3959" t="inlineStr">
        <is>
          <t>+</t>
        </is>
      </c>
      <c r="E10" s="3959" t="inlineStr">
        <is>
          <t>Input</t>
        </is>
      </c>
      <c r="F10" s="3959" t="inlineStr"/>
      <c r="G10" s="3929" t="n"/>
      <c r="H10" s="3929" t="n"/>
      <c r="I10" s="3929" t="n"/>
      <c r="J10" s="3929" t="n"/>
    </row>
    <row r="11">
      <c r="A11" s="3959" t="inlineStr">
        <is>
          <t>PER_PAY_PER_HC</t>
        </is>
      </c>
      <c r="B11" s="3959" t="inlineStr">
        <is>
          <t>Payroll per HC</t>
        </is>
      </c>
      <c r="C11" s="3959" t="n"/>
      <c r="D11" s="3959" t="inlineStr">
        <is>
          <t>+</t>
        </is>
      </c>
      <c r="E11" s="3959" t="inlineStr">
        <is>
          <t>Formula</t>
        </is>
      </c>
      <c r="F11" s="3959" t="inlineStr">
        <is>
          <t>Derived</t>
        </is>
      </c>
      <c r="G11" s="3929">
        <f>IF(OR(G9="",G10="",G9=0),"",G10/G9)</f>
        <v/>
      </c>
      <c r="H11" s="3929">
        <f>IF(OR(H9="",H10="",H9=0),"",H10/H9)</f>
        <v/>
      </c>
      <c r="I11" s="3929">
        <f>IF(OR(I9="",I10="",I9=0),"",I10/I9)</f>
        <v/>
      </c>
      <c r="J11" s="3929">
        <f>IF(OR(J9="",J10="",J9=0),"",J10/J9)</f>
        <v/>
      </c>
    </row>
    <row r="12">
      <c r="A12" s="3959" t="inlineStr">
        <is>
          <t>PER_BONUS</t>
        </is>
      </c>
      <c r="B12" s="3959" t="inlineStr">
        <is>
          <t>Bonus</t>
        </is>
      </c>
      <c r="C12" s="3959" t="n"/>
      <c r="D12" s="3959" t="inlineStr">
        <is>
          <t>+</t>
        </is>
      </c>
      <c r="E12" s="3959" t="inlineStr">
        <is>
          <t>Input</t>
        </is>
      </c>
      <c r="F12" s="3959" t="inlineStr"/>
      <c r="G12" s="3929" t="n"/>
      <c r="H12" s="3929" t="n"/>
      <c r="I12" s="3929" t="n"/>
      <c r="J12" s="3929" t="n"/>
    </row>
    <row r="13">
      <c r="A13" s="3959" t="inlineStr">
        <is>
          <t>PER_CONTRACT</t>
        </is>
      </c>
      <c r="B13" s="3959" t="inlineStr">
        <is>
          <t>Contractors</t>
        </is>
      </c>
      <c r="C13" s="3959" t="n"/>
      <c r="D13" s="3959" t="inlineStr">
        <is>
          <t>+</t>
        </is>
      </c>
      <c r="E13" s="3959" t="inlineStr">
        <is>
          <t>Input</t>
        </is>
      </c>
      <c r="F13" s="3959" t="inlineStr"/>
      <c r="G13" s="3929" t="n"/>
      <c r="H13" s="3929" t="n"/>
      <c r="I13" s="3929" t="n"/>
      <c r="J13" s="3929" t="n"/>
    </row>
    <row r="14">
      <c r="A14" s="3959" t="inlineStr">
        <is>
          <t>PER_TOTAL_COMP</t>
        </is>
      </c>
      <c r="B14" s="3959" t="inlineStr">
        <is>
          <t>Total personnel cost</t>
        </is>
      </c>
      <c r="C14" s="3959" t="n"/>
      <c r="D14" s="3959" t="inlineStr">
        <is>
          <t>+</t>
        </is>
      </c>
      <c r="E14" s="3959" t="inlineStr">
        <is>
          <t>Formula</t>
        </is>
      </c>
      <c r="F14" s="3959" t="inlineStr">
        <is>
          <t>Derived</t>
        </is>
      </c>
      <c r="G14" s="3929">
        <f>IF(COUNT(G10:G13)=0,"",SUM(G10,G12,G13))</f>
        <v/>
      </c>
      <c r="H14" s="3929">
        <f>IF(COUNT(H10:H13)=0,"",SUM(H10,H12,H13))</f>
        <v/>
      </c>
      <c r="I14" s="3929">
        <f>IF(COUNT(I10:I13)=0,"",SUM(I10,I12,I13))</f>
        <v/>
      </c>
      <c r="J14" s="3929">
        <f>IF(COUNT(J10:J13)=0,"",SUM(J10,J12,J13))</f>
        <v/>
      </c>
    </row>
    <row r="27">
      <c r="A27" s="3979" t="inlineStr">
        <is>
          <t>PERSONNEL_CHECKS</t>
        </is>
      </c>
      <c r="B27" s="3979" t="n"/>
      <c r="C27" s="3979" t="n"/>
      <c r="D27" s="3979" t="n"/>
      <c r="E27" s="3979" t="n"/>
      <c r="F27" s="3979" t="n"/>
      <c r="G27" s="3979" t="n"/>
      <c r="H27" s="3979" t="n"/>
      <c r="I27" s="3979" t="n"/>
      <c r="J27" s="3979" t="n"/>
    </row>
    <row r="28">
      <c r="A28" s="3959" t="inlineStr">
        <is>
          <t>Primary tie-out check</t>
        </is>
      </c>
      <c r="B28" s="3959" t="n"/>
      <c r="C28" s="3959" t="n"/>
      <c r="D28" s="3959" t="n"/>
      <c r="E28" s="3959" t="n"/>
      <c r="F28" s="3959" t="n"/>
      <c r="G28" s="3961">
        <f>IF(G14="","",G14-(G10+G12+G13))</f>
        <v/>
      </c>
      <c r="H28" s="3961">
        <f>IF(H14="","",H14-(H10+H12+H13))</f>
        <v/>
      </c>
      <c r="I28" s="3961">
        <f>IF(I14="","",I14-(I10+I12+I13))</f>
        <v/>
      </c>
      <c r="J28" s="3961">
        <f>IF(J14="","",J14-(J10+J12+J13))</f>
        <v/>
      </c>
    </row>
    <row r="29">
      <c r="A29" s="3959" t="inlineStr">
        <is>
          <t>Secondary tie-out check</t>
        </is>
      </c>
      <c r="B29" s="3959" t="n"/>
      <c r="C29" s="3959" t="n"/>
      <c r="D29" s="3959" t="n"/>
      <c r="E29" s="3959" t="n"/>
      <c r="F29" s="3959" t="n"/>
      <c r="G29" s="3961">
        <f>IF(OR(G11="",G10="",G9="",G9=0),"",G11-(G10/G9))</f>
        <v/>
      </c>
      <c r="H29" s="3961">
        <f>IF(OR(H11="",H10="",H9="",H9=0),"",H11-(H10/H9))</f>
        <v/>
      </c>
      <c r="I29" s="3961">
        <f>IF(OR(I11="",I10="",I9="",I9=0),"",I11-(I10/I9))</f>
        <v/>
      </c>
      <c r="J29" s="3961">
        <f>IF(OR(J11="",J10="",J9="",J9=0),"",J11-(J10/J9))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2026-02-18T20:17:23Z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