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Capex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5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Capex</t>
        </is>
      </c>
    </row>
    <row r="2">
      <c r="A2" s="3978" t="inlineStr">
        <is>
          <t>Source: &lt;document_source&gt;</t>
        </is>
      </c>
    </row>
    <row r="4">
      <c r="A4" s="3983" t="inlineStr">
        <is>
          <t>Capex module scaffold for maintenance/growth trends and intensity checks.</t>
        </is>
      </c>
    </row>
    <row r="7">
      <c r="A7" s="3979" t="inlineStr">
        <is>
          <t>Capex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CAP_MAINT</t>
        </is>
      </c>
      <c r="B9" s="3959" t="inlineStr">
        <is>
          <t>Maintenance capex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</row>
    <row r="10">
      <c r="A10" s="3959" t="inlineStr">
        <is>
          <t>CAP_GROWTH</t>
        </is>
      </c>
      <c r="B10" s="3959" t="inlineStr">
        <is>
          <t>Growth capex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</row>
    <row r="11">
      <c r="A11" s="3959" t="inlineStr">
        <is>
          <t>CAP_TOTAL</t>
        </is>
      </c>
      <c r="B11" s="3959" t="inlineStr">
        <is>
          <t>Total capex</t>
        </is>
      </c>
      <c r="C11" s="3959" t="n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29">
        <f>IF(COUNT(G9:G10)=0,"",SUM(G9:G10))</f>
        <v/>
      </c>
      <c r="H11" s="3929">
        <f>IF(COUNT(H9:H10)=0,"",SUM(H9:H10))</f>
        <v/>
      </c>
      <c r="I11" s="3929">
        <f>IF(COUNT(I9:I10)=0,"",SUM(I9:I10))</f>
        <v/>
      </c>
      <c r="J11" s="3929">
        <f>IF(COUNT(J9:J10)=0,"",SUM(J9:J10))</f>
        <v/>
      </c>
    </row>
    <row r="12">
      <c r="A12" s="3959" t="inlineStr">
        <is>
          <t>CAP_SALES</t>
        </is>
      </c>
      <c r="B12" s="3959" t="inlineStr">
        <is>
          <t>Sales</t>
        </is>
      </c>
      <c r="C12" s="3959" t="n"/>
      <c r="D12" s="3959" t="inlineStr">
        <is>
          <t>+</t>
        </is>
      </c>
      <c r="E12" s="3959" t="inlineStr">
        <is>
          <t>Input</t>
        </is>
      </c>
      <c r="F12" s="3959" t="inlineStr"/>
      <c r="G12" s="3929" t="n"/>
      <c r="H12" s="3929" t="n"/>
      <c r="I12" s="3929" t="n"/>
      <c r="J12" s="3929" t="n"/>
    </row>
    <row r="13">
      <c r="A13" s="3959" t="inlineStr">
        <is>
          <t>CAP_PCT</t>
        </is>
      </c>
      <c r="B13" s="3959" t="inlineStr">
        <is>
          <t>Capex % sales</t>
        </is>
      </c>
      <c r="C13" s="3959" t="n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29">
        <f>IF(OR(G11="",G12="",G12=0),"",G11/G12)</f>
        <v/>
      </c>
      <c r="H13" s="3929">
        <f>IF(OR(H11="",H12="",H12=0),"",H11/H12)</f>
        <v/>
      </c>
      <c r="I13" s="3929">
        <f>IF(OR(I11="",I12="",I12=0),"",I11/I12)</f>
        <v/>
      </c>
      <c r="J13" s="3929">
        <f>IF(OR(J11="",J12="",J12=0),"",J11/J12)</f>
        <v/>
      </c>
    </row>
    <row r="14">
      <c r="A14" s="3959" t="inlineStr">
        <is>
          <t>CAP_NONREC</t>
        </is>
      </c>
      <c r="B14" s="3959" t="inlineStr">
        <is>
          <t>Non-recurring capex</t>
        </is>
      </c>
      <c r="C14" s="3959" t="n"/>
      <c r="D14" s="3959" t="inlineStr">
        <is>
          <t>+</t>
        </is>
      </c>
      <c r="E14" s="3959" t="inlineStr">
        <is>
          <t>Input</t>
        </is>
      </c>
      <c r="F14" s="3959" t="inlineStr"/>
      <c r="G14" s="3929" t="n"/>
      <c r="H14" s="3929" t="n"/>
      <c r="I14" s="3929" t="n"/>
      <c r="J14" s="3929" t="n"/>
    </row>
    <row r="27">
      <c r="A27" s="3979" t="inlineStr">
        <is>
          <t>CAPEX_CHECKS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IF(G11="","",G11-(G9+G10))</f>
        <v/>
      </c>
      <c r="H28" s="3961">
        <f>IF(H11="","",H11-(H9+H10))</f>
        <v/>
      </c>
      <c r="I28" s="3961">
        <f>IF(I11="","",I11-(I9+I10))</f>
        <v/>
      </c>
      <c r="J28" s="3961">
        <f>IF(J11="","",J11-(J9+J10))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IF(OR(G13="",G11="",G12="",G12=0),"",G13-(G11/G12))</f>
        <v/>
      </c>
      <c r="H29" s="3961">
        <f>IF(OR(H13="",H11="",H12="",H12=0),"",H13-(H11/H12))</f>
        <v/>
      </c>
      <c r="I29" s="3961">
        <f>IF(OR(I13="",I11="",I12="",I12=0),"",I13-(I11/I12))</f>
        <v/>
      </c>
      <c r="J29" s="3961">
        <f>IF(OR(J13="",J11="",J12="",J12=0),"",J13-(J11/J12))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2026-02-18T20:17:24Z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