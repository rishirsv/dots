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Aging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6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4" customHeight="1">
      <c r="A1" s="3921" t="inlineStr">
        <is>
          <t>Agings</t>
        </is>
      </c>
    </row>
    <row r="2">
      <c r="A2" s="3978" t="inlineStr">
        <is>
          <t>Source: &lt;document_source&gt;</t>
        </is>
      </c>
    </row>
    <row r="4">
      <c r="A4" s="3983" t="inlineStr">
        <is>
          <t>AR/AP aging scaffolds with canonical buckets and control tie-out checks.</t>
        </is>
      </c>
    </row>
    <row r="7">
      <c r="A7" s="3979" t="inlineStr">
        <is>
          <t>Aging | AR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  <c r="K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Counterparty ID</t>
        </is>
      </c>
      <c r="D8" s="3923" t="inlineStr">
        <is>
          <t>Current</t>
        </is>
      </c>
      <c r="E8" s="3923" t="inlineStr">
        <is>
          <t>1-30</t>
        </is>
      </c>
      <c r="F8" s="3923" t="inlineStr">
        <is>
          <t>31-60</t>
        </is>
      </c>
      <c r="G8" s="3923" t="inlineStr">
        <is>
          <t>61-90</t>
        </is>
      </c>
      <c r="H8" s="3923" t="inlineStr">
        <is>
          <t>91-120</t>
        </is>
      </c>
      <c r="I8" s="3923" t="inlineStr">
        <is>
          <t>&gt;120</t>
        </is>
      </c>
      <c r="J8" s="3923" t="inlineStr">
        <is>
          <t>Total</t>
        </is>
      </c>
      <c r="K8" s="3923" t="inlineStr">
        <is>
          <t>Source</t>
        </is>
      </c>
    </row>
    <row r="9">
      <c r="A9" s="3959" t="inlineStr">
        <is>
          <t>AR_001</t>
        </is>
      </c>
      <c r="B9" s="3959" t="inlineStr">
        <is>
          <t>Top customer 1</t>
        </is>
      </c>
      <c r="C9" s="3959" t="inlineStr">
        <is>
          <t>AR101</t>
        </is>
      </c>
      <c r="D9" s="3929">
        <f>IF($J$18="","",$J$18)</f>
        <v/>
      </c>
      <c r="E9" s="3929" t="n"/>
      <c r="F9" s="3929" t="n"/>
      <c r="G9" s="3929" t="n"/>
      <c r="H9" s="3929" t="n"/>
      <c r="I9" s="3929" t="n"/>
      <c r="J9" s="3959">
        <f>IF(COUNTA(D9:I9)=0,"",SUM(D9:I9))</f>
        <v/>
      </c>
      <c r="K9" s="3959" t="inlineStr">
        <is>
          <t>Input</t>
        </is>
      </c>
    </row>
    <row r="10">
      <c r="A10" s="3959" t="inlineStr">
        <is>
          <t>AR_002</t>
        </is>
      </c>
      <c r="B10" s="3959" t="inlineStr">
        <is>
          <t>Top customer 2</t>
        </is>
      </c>
      <c r="C10" s="3959" t="inlineStr">
        <is>
          <t>AR102</t>
        </is>
      </c>
      <c r="D10" s="3929" t="n">
        <v>0</v>
      </c>
      <c r="E10" s="3929" t="n"/>
      <c r="F10" s="3929" t="n"/>
      <c r="G10" s="3929" t="n"/>
      <c r="H10" s="3929" t="n"/>
      <c r="I10" s="3929" t="n"/>
      <c r="J10" s="3959">
        <f>IF(COUNTA(D10:I10)=0,"",SUM(D10:I10))</f>
        <v/>
      </c>
      <c r="K10" s="3959" t="inlineStr">
        <is>
          <t>Input</t>
        </is>
      </c>
    </row>
    <row r="11">
      <c r="A11" s="3959" t="inlineStr">
        <is>
          <t>AR_003</t>
        </is>
      </c>
      <c r="B11" s="3959" t="inlineStr">
        <is>
          <t>Top customer 3</t>
        </is>
      </c>
      <c r="C11" s="3959" t="inlineStr">
        <is>
          <t>AR103</t>
        </is>
      </c>
      <c r="D11" s="3929" t="n">
        <v>0</v>
      </c>
      <c r="E11" s="3929" t="n"/>
      <c r="F11" s="3929" t="n"/>
      <c r="G11" s="3929" t="n"/>
      <c r="H11" s="3929" t="n"/>
      <c r="I11" s="3929" t="n"/>
      <c r="J11" s="3959">
        <f>IF(COUNTA(D11:I11)=0,"",SUM(D11:I11))</f>
        <v/>
      </c>
      <c r="K11" s="3959" t="inlineStr">
        <is>
          <t>Input</t>
        </is>
      </c>
    </row>
    <row r="12">
      <c r="A12" s="3959" t="inlineStr">
        <is>
          <t>AR_004</t>
        </is>
      </c>
      <c r="B12" s="3959" t="inlineStr">
        <is>
          <t>Top customer 4</t>
        </is>
      </c>
      <c r="C12" s="3959" t="inlineStr">
        <is>
          <t>AR104</t>
        </is>
      </c>
      <c r="D12" s="3929" t="n">
        <v>0</v>
      </c>
      <c r="E12" s="3929" t="n"/>
      <c r="F12" s="3929" t="n"/>
      <c r="G12" s="3929" t="n"/>
      <c r="H12" s="3929" t="n"/>
      <c r="I12" s="3929" t="n"/>
      <c r="J12" s="3959">
        <f>IF(COUNTA(D12:I12)=0,"",SUM(D12:I12))</f>
        <v/>
      </c>
      <c r="K12" s="3959" t="inlineStr">
        <is>
          <t>Input</t>
        </is>
      </c>
    </row>
    <row r="13">
      <c r="A13" s="3959" t="inlineStr">
        <is>
          <t>AR_005</t>
        </is>
      </c>
      <c r="B13" s="3959" t="inlineStr">
        <is>
          <t>Top customer 5</t>
        </is>
      </c>
      <c r="C13" s="3959" t="inlineStr">
        <is>
          <t>AR105</t>
        </is>
      </c>
      <c r="D13" s="3929" t="n">
        <v>0</v>
      </c>
      <c r="E13" s="3929" t="n"/>
      <c r="F13" s="3929" t="n"/>
      <c r="G13" s="3929" t="n"/>
      <c r="H13" s="3929" t="n"/>
      <c r="I13" s="3929" t="n"/>
      <c r="J13" s="3959">
        <f>IF(COUNTA(D13:I13)=0,"",SUM(D13:I13))</f>
        <v/>
      </c>
      <c r="K13" s="3959" t="inlineStr">
        <is>
          <t>Input</t>
        </is>
      </c>
    </row>
    <row r="14">
      <c r="A14" s="3959" t="inlineStr">
        <is>
          <t>AR_006</t>
        </is>
      </c>
      <c r="B14" s="3959" t="inlineStr">
        <is>
          <t>Top customer 6</t>
        </is>
      </c>
      <c r="C14" s="3959" t="inlineStr">
        <is>
          <t>AR106</t>
        </is>
      </c>
      <c r="D14" s="3929" t="n">
        <v>0</v>
      </c>
      <c r="E14" s="3929" t="n"/>
      <c r="F14" s="3929" t="n"/>
      <c r="G14" s="3929" t="n"/>
      <c r="H14" s="3929" t="n"/>
      <c r="I14" s="3929" t="n"/>
      <c r="J14" s="3959">
        <f>IF(COUNTA(D14:I14)=0,"",SUM(D14:I14))</f>
        <v/>
      </c>
      <c r="K14" s="3959" t="inlineStr">
        <is>
          <t>Input</t>
        </is>
      </c>
    </row>
    <row r="15">
      <c r="A15" s="3959" t="inlineStr">
        <is>
          <t>AR_TOTAL</t>
        </is>
      </c>
      <c r="B15" s="3959" t="inlineStr">
        <is>
          <t>Total AR aging</t>
        </is>
      </c>
      <c r="C15" s="3959" t="n"/>
      <c r="D15" s="3959" t="n"/>
      <c r="E15" s="3959" t="n"/>
      <c r="F15" s="3959" t="n"/>
      <c r="G15" s="3959" t="n"/>
      <c r="H15" s="3959" t="n"/>
      <c r="I15" s="3959" t="n"/>
      <c r="J15" s="3959">
        <f>IF(COUNT(J9:J14)=0,"",SUM(J9:J14))</f>
        <v/>
      </c>
      <c r="K15" s="3959" t="inlineStr">
        <is>
          <t>Formula</t>
        </is>
      </c>
    </row>
    <row r="16">
      <c r="A16" s="3979" t="inlineStr">
        <is>
          <t>AGING_AR_CHECKS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  <c r="J16" s="3979" t="n"/>
      <c r="K16" s="3979" t="n"/>
    </row>
    <row r="17">
      <c r="A17" s="3959" t="inlineStr">
        <is>
          <t>AR aging tie-out vs AR control</t>
        </is>
      </c>
      <c r="B17" s="3959" t="n"/>
      <c r="C17" s="3959" t="n"/>
      <c r="D17" s="3959" t="n"/>
      <c r="E17" s="3959" t="n"/>
      <c r="F17" s="3959" t="n"/>
      <c r="G17" s="3959" t="n"/>
      <c r="H17" s="3959" t="n"/>
      <c r="I17" s="3959" t="n"/>
      <c r="J17" s="3961">
        <f>IF(OR(J15="",J18=""),"",J15-J18)</f>
        <v/>
      </c>
      <c r="K17" s="3959" t="inlineStr">
        <is>
          <t>Should be 0</t>
        </is>
      </c>
    </row>
    <row r="18">
      <c r="A18" s="3959" t="inlineStr">
        <is>
          <t>AR_CONTROL</t>
        </is>
      </c>
      <c r="B18" s="3959" t="inlineStr">
        <is>
          <t>AR control account (from Combined | BS)</t>
        </is>
      </c>
      <c r="C18" s="3959" t="n"/>
      <c r="D18" s="3959" t="n"/>
      <c r="E18" s="3959" t="n"/>
      <c r="F18" s="3959" t="n"/>
      <c r="G18" s="3959" t="n"/>
      <c r="H18" s="3959" t="n"/>
      <c r="I18" s="3959" t="n"/>
      <c r="J18" s="3929">
        <f>'Combined | BS'!G10</f>
        <v/>
      </c>
      <c r="K18" s="3959" t="inlineStr">
        <is>
          <t>Input/Link</t>
        </is>
      </c>
    </row>
    <row r="19">
      <c r="A19" s="3984" t="n"/>
      <c r="B19" s="3984" t="n"/>
      <c r="C19" s="3984" t="n"/>
      <c r="D19" s="3984" t="n"/>
      <c r="E19" s="3984" t="n"/>
      <c r="F19" s="3984" t="n"/>
      <c r="G19" s="3984" t="n"/>
      <c r="H19" s="3984" t="n"/>
      <c r="I19" s="3984" t="n"/>
      <c r="J19" s="3984" t="n"/>
      <c r="K19" s="3984" t="n"/>
    </row>
    <row r="20">
      <c r="A20" s="3984" t="n"/>
      <c r="B20" s="3984" t="n"/>
      <c r="C20" s="3984" t="n"/>
      <c r="D20" s="3984" t="n"/>
      <c r="E20" s="3984" t="n"/>
      <c r="F20" s="3984" t="n"/>
      <c r="G20" s="3984" t="n"/>
      <c r="H20" s="3984" t="n"/>
      <c r="I20" s="3984" t="n"/>
      <c r="J20" s="3984" t="n"/>
      <c r="K20" s="3984" t="n"/>
    </row>
    <row r="21">
      <c r="A21" s="3984" t="n"/>
      <c r="B21" s="3984" t="n"/>
      <c r="C21" s="3984" t="n"/>
      <c r="D21" s="3984" t="n"/>
      <c r="E21" s="3984" t="n"/>
      <c r="F21" s="3984" t="n"/>
      <c r="G21" s="3984" t="n"/>
      <c r="H21" s="3984" t="n"/>
      <c r="I21" s="3984" t="n"/>
      <c r="J21" s="3984" t="n"/>
      <c r="K21" s="3984" t="n"/>
    </row>
    <row r="22">
      <c r="A22" s="3984" t="n"/>
      <c r="B22" s="3984" t="n"/>
      <c r="C22" s="3984" t="n"/>
      <c r="D22" s="3984" t="n"/>
      <c r="E22" s="3984" t="n"/>
      <c r="F22" s="3984" t="n"/>
      <c r="G22" s="3984" t="n"/>
      <c r="H22" s="3984" t="n"/>
      <c r="I22" s="3984" t="n"/>
      <c r="J22" s="3984" t="n"/>
      <c r="K22" s="3984" t="n"/>
    </row>
    <row r="23">
      <c r="A23" s="3979" t="inlineStr">
        <is>
          <t>Aging | AP</t>
        </is>
      </c>
      <c r="B23" s="3979" t="n"/>
      <c r="C23" s="3979" t="n"/>
      <c r="D23" s="3979" t="n"/>
      <c r="E23" s="3979" t="n"/>
      <c r="F23" s="3979" t="n"/>
      <c r="G23" s="3979" t="n"/>
      <c r="H23" s="3979" t="n"/>
      <c r="I23" s="3979" t="n"/>
      <c r="J23" s="3979" t="n"/>
      <c r="K23" s="3979" t="n"/>
    </row>
    <row r="24">
      <c r="A24" s="3923" t="inlineStr">
        <is>
          <t>LineKey</t>
        </is>
      </c>
      <c r="B24" s="3923" t="inlineStr">
        <is>
          <t>$'000</t>
        </is>
      </c>
      <c r="C24" s="3923" t="inlineStr">
        <is>
          <t>Counterparty ID</t>
        </is>
      </c>
      <c r="D24" s="3923" t="inlineStr">
        <is>
          <t>Current</t>
        </is>
      </c>
      <c r="E24" s="3923" t="inlineStr">
        <is>
          <t>1-30</t>
        </is>
      </c>
      <c r="F24" s="3923" t="inlineStr">
        <is>
          <t>31-60</t>
        </is>
      </c>
      <c r="G24" s="3923" t="inlineStr">
        <is>
          <t>61-90</t>
        </is>
      </c>
      <c r="H24" s="3923" t="inlineStr">
        <is>
          <t>91-120</t>
        </is>
      </c>
      <c r="I24" s="3923" t="inlineStr">
        <is>
          <t>&gt;120</t>
        </is>
      </c>
      <c r="J24" s="3923" t="inlineStr">
        <is>
          <t>Total</t>
        </is>
      </c>
      <c r="K24" s="3923" t="inlineStr">
        <is>
          <t>Source</t>
        </is>
      </c>
    </row>
    <row r="25">
      <c r="A25" s="3959" t="inlineStr">
        <is>
          <t>AP_001</t>
        </is>
      </c>
      <c r="B25" s="3959" t="inlineStr">
        <is>
          <t>Top vendor 1</t>
        </is>
      </c>
      <c r="C25" s="3959" t="inlineStr">
        <is>
          <t>AP101</t>
        </is>
      </c>
      <c r="D25" s="3929">
        <f>IF($J$34="","",$J$34)</f>
        <v/>
      </c>
      <c r="E25" s="3929" t="n"/>
      <c r="F25" s="3929" t="n"/>
      <c r="G25" s="3929" t="n"/>
      <c r="H25" s="3929" t="n"/>
      <c r="I25" s="3929" t="n"/>
      <c r="J25" s="3959">
        <f>IF(COUNTA(D25:I25)=0,"",SUM(D25:I25))</f>
        <v/>
      </c>
      <c r="K25" s="3959" t="inlineStr">
        <is>
          <t>Input</t>
        </is>
      </c>
    </row>
    <row r="26">
      <c r="A26" s="3959" t="inlineStr">
        <is>
          <t>AP_002</t>
        </is>
      </c>
      <c r="B26" s="3959" t="inlineStr">
        <is>
          <t>Top vendor 2</t>
        </is>
      </c>
      <c r="C26" s="3959" t="inlineStr">
        <is>
          <t>AP102</t>
        </is>
      </c>
      <c r="D26" s="3929" t="n">
        <v>0</v>
      </c>
      <c r="E26" s="3929" t="n"/>
      <c r="F26" s="3929" t="n"/>
      <c r="G26" s="3929" t="n"/>
      <c r="H26" s="3929" t="n"/>
      <c r="I26" s="3929" t="n"/>
      <c r="J26" s="3959">
        <f>IF(COUNTA(D26:I26)=0,"",SUM(D26:I26))</f>
        <v/>
      </c>
      <c r="K26" s="3959" t="inlineStr">
        <is>
          <t>Input</t>
        </is>
      </c>
    </row>
    <row r="27">
      <c r="A27" s="3959" t="inlineStr">
        <is>
          <t>AP_003</t>
        </is>
      </c>
      <c r="B27" s="3959" t="inlineStr">
        <is>
          <t>Top vendor 3</t>
        </is>
      </c>
      <c r="C27" s="3959" t="inlineStr">
        <is>
          <t>AP103</t>
        </is>
      </c>
      <c r="D27" s="3929" t="n">
        <v>0</v>
      </c>
      <c r="E27" s="3929" t="n"/>
      <c r="F27" s="3929" t="n"/>
      <c r="G27" s="3929" t="n"/>
      <c r="H27" s="3929" t="n"/>
      <c r="I27" s="3929" t="n"/>
      <c r="J27" s="3959">
        <f>IF(COUNTA(D27:I27)=0,"",SUM(D27:I27))</f>
        <v/>
      </c>
      <c r="K27" s="3959" t="inlineStr">
        <is>
          <t>Input</t>
        </is>
      </c>
    </row>
    <row r="28">
      <c r="A28" s="3959" t="inlineStr">
        <is>
          <t>AP_004</t>
        </is>
      </c>
      <c r="B28" s="3959" t="inlineStr">
        <is>
          <t>Top vendor 4</t>
        </is>
      </c>
      <c r="C28" s="3959" t="inlineStr">
        <is>
          <t>AP104</t>
        </is>
      </c>
      <c r="D28" s="3929" t="n">
        <v>0</v>
      </c>
      <c r="E28" s="3929" t="n"/>
      <c r="F28" s="3929" t="n"/>
      <c r="G28" s="3929" t="n"/>
      <c r="H28" s="3929" t="n"/>
      <c r="I28" s="3929" t="n"/>
      <c r="J28" s="3959">
        <f>IF(COUNTA(D28:I28)=0,"",SUM(D28:I28))</f>
        <v/>
      </c>
      <c r="K28" s="3959" t="inlineStr">
        <is>
          <t>Input</t>
        </is>
      </c>
    </row>
    <row r="29">
      <c r="A29" s="3959" t="inlineStr">
        <is>
          <t>AP_005</t>
        </is>
      </c>
      <c r="B29" s="3959" t="inlineStr">
        <is>
          <t>Top vendor 5</t>
        </is>
      </c>
      <c r="C29" s="3959" t="inlineStr">
        <is>
          <t>AP105</t>
        </is>
      </c>
      <c r="D29" s="3929" t="n">
        <v>0</v>
      </c>
      <c r="E29" s="3929" t="n"/>
      <c r="F29" s="3929" t="n"/>
      <c r="G29" s="3929" t="n"/>
      <c r="H29" s="3929" t="n"/>
      <c r="I29" s="3929" t="n"/>
      <c r="J29" s="3959">
        <f>IF(COUNTA(D29:I29)=0,"",SUM(D29:I29))</f>
        <v/>
      </c>
      <c r="K29" s="3959" t="inlineStr">
        <is>
          <t>Input</t>
        </is>
      </c>
    </row>
    <row r="30">
      <c r="A30" s="3959" t="inlineStr">
        <is>
          <t>AP_006</t>
        </is>
      </c>
      <c r="B30" s="3959" t="inlineStr">
        <is>
          <t>Top vendor 6</t>
        </is>
      </c>
      <c r="C30" s="3959" t="inlineStr">
        <is>
          <t>AP106</t>
        </is>
      </c>
      <c r="D30" s="3929" t="n">
        <v>0</v>
      </c>
      <c r="E30" s="3929" t="n"/>
      <c r="F30" s="3929" t="n"/>
      <c r="G30" s="3929" t="n"/>
      <c r="H30" s="3929" t="n"/>
      <c r="I30" s="3929" t="n"/>
      <c r="J30" s="3959">
        <f>IF(COUNTA(D30:I30)=0,"",SUM(D30:I30))</f>
        <v/>
      </c>
      <c r="K30" s="3959" t="inlineStr">
        <is>
          <t>Input</t>
        </is>
      </c>
    </row>
    <row r="31">
      <c r="A31" s="3959" t="inlineStr">
        <is>
          <t>AP_TOTAL</t>
        </is>
      </c>
      <c r="B31" s="3959" t="inlineStr">
        <is>
          <t>Total AP aging</t>
        </is>
      </c>
      <c r="C31" s="3959" t="n"/>
      <c r="D31" s="3959" t="n"/>
      <c r="E31" s="3959" t="n"/>
      <c r="F31" s="3959" t="n"/>
      <c r="G31" s="3959" t="n"/>
      <c r="H31" s="3959" t="n"/>
      <c r="I31" s="3959" t="n"/>
      <c r="J31" s="3959">
        <f>IF(COUNT(J25:J30)=0,"",SUM(J25:J30))</f>
        <v/>
      </c>
      <c r="K31" s="3959" t="inlineStr">
        <is>
          <t>Formula</t>
        </is>
      </c>
    </row>
    <row r="32">
      <c r="A32" s="3979" t="inlineStr">
        <is>
          <t>AGING_AP_CHECKS</t>
        </is>
      </c>
      <c r="B32" s="3979" t="n"/>
      <c r="C32" s="3979" t="n"/>
      <c r="D32" s="3979" t="n"/>
      <c r="E32" s="3979" t="n"/>
      <c r="F32" s="3979" t="n"/>
      <c r="G32" s="3979" t="n"/>
      <c r="H32" s="3979" t="n"/>
      <c r="I32" s="3979" t="n"/>
      <c r="J32" s="3979" t="n"/>
      <c r="K32" s="3979" t="n"/>
    </row>
    <row r="33">
      <c r="A33" s="3959" t="inlineStr">
        <is>
          <t>AP aging tie-out vs AP control</t>
        </is>
      </c>
      <c r="B33" s="3959" t="n"/>
      <c r="C33" s="3959" t="n"/>
      <c r="D33" s="3959" t="n"/>
      <c r="E33" s="3959" t="n"/>
      <c r="F33" s="3959" t="n"/>
      <c r="G33" s="3959" t="n"/>
      <c r="H33" s="3959" t="n"/>
      <c r="I33" s="3959" t="n"/>
      <c r="J33" s="3961">
        <f>IF(OR(J31="",J34=""),"",J31-J34)</f>
        <v/>
      </c>
      <c r="K33" s="3959" t="inlineStr">
        <is>
          <t>Should be 0</t>
        </is>
      </c>
    </row>
    <row r="34">
      <c r="A34" s="3959" t="inlineStr">
        <is>
          <t>AP_CONTROL</t>
        </is>
      </c>
      <c r="B34" s="3959" t="inlineStr">
        <is>
          <t>AP control account (from Combined | BS)</t>
        </is>
      </c>
      <c r="C34" s="3959" t="n"/>
      <c r="D34" s="3959" t="n"/>
      <c r="E34" s="3959" t="n"/>
      <c r="F34" s="3959" t="n"/>
      <c r="G34" s="3959" t="n"/>
      <c r="H34" s="3959" t="n"/>
      <c r="I34" s="3959" t="n"/>
      <c r="J34" s="3929">
        <f>'Combined | BS'!G17</f>
        <v/>
      </c>
      <c r="K34" s="3959" t="inlineStr">
        <is>
          <t>Input/Link</t>
        </is>
      </c>
    </row>
    <row r="35">
      <c r="A35" s="3984" t="n"/>
      <c r="B35" s="3984" t="n"/>
      <c r="C35" s="3984" t="n"/>
      <c r="D35" s="3984" t="n"/>
      <c r="E35" s="3984" t="n"/>
      <c r="F35" s="3984" t="n"/>
      <c r="G35" s="3984" t="n"/>
      <c r="H35" s="3984" t="n"/>
      <c r="I35" s="3984" t="n"/>
      <c r="J35" s="3984" t="n"/>
      <c r="K35" s="3984" t="n"/>
    </row>
    <row r="36">
      <c r="A36" s="3984" t="n"/>
      <c r="B36" s="3984" t="n"/>
      <c r="C36" s="3984" t="n"/>
      <c r="D36" s="3984" t="n"/>
      <c r="E36" s="3984" t="n"/>
      <c r="F36" s="3984" t="n"/>
      <c r="G36" s="3984" t="n"/>
      <c r="H36" s="3984" t="n"/>
      <c r="I36" s="3984" t="n"/>
      <c r="J36" s="3984" t="n"/>
      <c r="K36" s="3984" t="n"/>
    </row>
    <row r="37">
      <c r="A37" s="3984" t="n"/>
      <c r="B37" s="3984" t="n"/>
      <c r="C37" s="3984" t="n"/>
      <c r="D37" s="3984" t="n"/>
      <c r="E37" s="3984" t="n"/>
      <c r="F37" s="3984" t="n"/>
      <c r="G37" s="3984" t="n"/>
      <c r="H37" s="3984" t="n"/>
      <c r="I37" s="3984" t="n"/>
      <c r="J37" s="3984" t="n"/>
      <c r="K37" s="3984" t="n"/>
    </row>
    <row r="38">
      <c r="A38" s="3984" t="n"/>
      <c r="B38" s="3984" t="n"/>
      <c r="C38" s="3984" t="n"/>
      <c r="D38" s="3984" t="n"/>
      <c r="E38" s="3984" t="n"/>
      <c r="F38" s="3984" t="n"/>
      <c r="G38" s="3984" t="n"/>
      <c r="H38" s="3984" t="n"/>
      <c r="I38" s="3984" t="n"/>
      <c r="J38" s="3984" t="n"/>
      <c r="K38" s="3984" t="n"/>
    </row>
    <row r="39">
      <c r="A39" s="3979" t="inlineStr">
        <is>
          <t>AGING_CHECKS</t>
        </is>
      </c>
      <c r="B39" s="3979" t="n"/>
      <c r="C39" s="3979" t="n"/>
      <c r="D39" s="3979" t="n"/>
      <c r="E39" s="3979" t="n"/>
      <c r="F39" s="3979" t="n"/>
      <c r="G39" s="3979" t="n"/>
      <c r="H39" s="3979" t="n"/>
      <c r="I39" s="3979" t="n"/>
      <c r="J39" s="3979" t="n"/>
      <c r="K39" s="3979" t="n"/>
    </row>
    <row r="40">
      <c r="A40" s="3959" t="inlineStr">
        <is>
          <t>Combined AR/AP tie-out check</t>
        </is>
      </c>
      <c r="B40" s="3959" t="n"/>
      <c r="C40" s="3959" t="n"/>
      <c r="D40" s="3959" t="n"/>
      <c r="E40" s="3959" t="n"/>
      <c r="F40" s="3959" t="n"/>
      <c r="G40" s="3959" t="n"/>
      <c r="H40" s="3959" t="n"/>
      <c r="I40" s="3959" t="n"/>
      <c r="J40" s="3961">
        <f>IF(OR(J17="",J33=""),"",J17+J33)</f>
        <v/>
      </c>
      <c r="K40" s="3959" t="inlineStr">
        <is>
          <t>Should be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2026-02-18T20:45:20Z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