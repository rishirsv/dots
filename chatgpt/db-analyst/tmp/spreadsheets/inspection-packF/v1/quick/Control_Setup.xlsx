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'Control | Setup'!$A$1:$I$60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Template scaffold v1: Packs A-F merged and validated with synthetic data; direct formulas/values, no Excel Tables.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>
        <is>
          <t>Synthetic Validation Deal</t>
        </is>
      </c>
    </row>
    <row r="9">
      <c r="A9" s="3938" t="inlineStr">
        <is>
          <t>TemplateVersion</t>
        </is>
      </c>
      <c r="B9" s="3939" t="inlineStr">
        <is>
          <t>v1.1-packF-validated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n">
        <v>46022</v>
      </c>
    </row>
    <row r="14">
      <c r="A14" s="3936" t="inlineStr">
        <is>
          <t>Change Log</t>
        </is>
      </c>
      <c r="B14" s="3937" t="inlineStr">
        <is>
          <t>v1.1-packF-validated | 2026-02-18 | Codex | Pack F validation</t>
        </is>
      </c>
      <c r="C14" s="3985" t="n"/>
      <c r="D14" s="3985" t="n"/>
      <c r="E14" s="3985" t="n"/>
    </row>
    <row r="15">
      <c r="A15" s="3923" t="inlineStr">
        <is>
          <t>Pack F | Validation</t>
        </is>
      </c>
      <c r="B15" s="3923" t="n"/>
      <c r="C15" s="3985" t="n"/>
      <c r="D15" s="3985" t="n"/>
      <c r="E15" s="3985" t="n"/>
    </row>
    <row r="16">
      <c r="A16" s="3938" t="inlineStr">
        <is>
          <t>Control</t>
        </is>
      </c>
      <c r="B16" s="3939" t="inlineStr">
        <is>
          <t>Value</t>
        </is>
      </c>
      <c r="C16" s="3985" t="inlineStr">
        <is>
          <t>Target</t>
        </is>
      </c>
      <c r="D16" s="3985" t="inlineStr">
        <is>
          <t>Status</t>
        </is>
      </c>
      <c r="E16" s="3985" t="inlineStr">
        <is>
          <t>Notes</t>
        </is>
      </c>
    </row>
    <row r="17">
      <c r="A17" s="3938" t="inlineStr">
        <is>
          <t>Periods loaded</t>
        </is>
      </c>
      <c r="B17" s="3939">
        <f>COUNTA(A22:A57)</f>
        <v/>
      </c>
      <c r="C17" s="3985" t="n">
        <v>36</v>
      </c>
      <c r="D17" s="3985">
        <f>IF(B17=C17,"PASS","FAIL")</f>
        <v/>
      </c>
      <c r="E17" s="3985" t="inlineStr">
        <is>
          <t>Last 36 month-end dates</t>
        </is>
      </c>
    </row>
    <row r="18">
      <c r="A18" s="3938" t="inlineStr">
        <is>
          <t>FY-end flags</t>
        </is>
      </c>
      <c r="B18" s="3939">
        <f>COUNTIF(F22:F57,TRUE)</f>
        <v/>
      </c>
      <c r="C18" s="3985" t="n">
        <v>3</v>
      </c>
      <c r="D18" s="3985">
        <f>IF(B18=C18,"PASS","FAIL")</f>
        <v/>
      </c>
      <c r="E18" s="3985" t="inlineStr">
        <is>
          <t>Expected three FY ends in 36 months</t>
        </is>
      </c>
    </row>
    <row r="19">
      <c r="A19" s="3938" t="inlineStr">
        <is>
          <t>TTM end flags</t>
        </is>
      </c>
      <c r="B19" s="3939">
        <f>COUNTIF(H22:H57,TRUE)</f>
        <v/>
      </c>
      <c r="C19" s="3985" t="n">
        <v>1</v>
      </c>
      <c r="D19" s="3985">
        <f>IF(B19=C19,"PASS","FAIL")</f>
        <v/>
      </c>
      <c r="E19" s="3985" t="inlineStr">
        <is>
          <t>Exactly one TTM endpoint</t>
        </is>
      </c>
    </row>
    <row r="20">
      <c r="A20" s="3938" t="inlineStr">
        <is>
          <t>Latest month consistency</t>
        </is>
      </c>
      <c r="B20" s="3939">
        <f>A57=B13</f>
        <v/>
      </c>
      <c r="C20" s="3985" t="b">
        <v>1</v>
      </c>
      <c r="D20" s="3985">
        <f>IF(B20=C20,"PASS","FAIL")</f>
        <v/>
      </c>
      <c r="E20" s="3985" t="inlineStr">
        <is>
          <t>Latest period equals LatestMonthEnd</t>
        </is>
      </c>
      <c r="F20" s="3980" t="n"/>
      <c r="G20" s="3980" t="n"/>
      <c r="H20" s="3980" t="n"/>
      <c r="I20" s="3980" t="n"/>
    </row>
    <row r="21">
      <c r="A21" s="3938" t="inlineStr">
        <is>
          <t>Workbook QC status</t>
        </is>
      </c>
      <c r="B21" s="3939" t="inlineStr">
        <is>
          <t>See Control | QC!B4</t>
        </is>
      </c>
      <c r="C21" s="3985" t="inlineStr">
        <is>
          <t>PASS</t>
        </is>
      </c>
      <c r="D21" s="3985" t="inlineStr">
        <is>
          <t>MANUAL</t>
        </is>
      </c>
      <c r="E21" s="3985" t="inlineStr">
        <is>
          <t>Verify in Excel calc mode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>
        <v>44957</v>
      </c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>
        <v>44985</v>
      </c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>
        <v>45016</v>
      </c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>
        <v>45046</v>
      </c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>
        <v>45077</v>
      </c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>
        <v>45107</v>
      </c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>
        <v>45138</v>
      </c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>
        <v>45169</v>
      </c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>
        <v>45199</v>
      </c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>
        <v>45230</v>
      </c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>
        <v>45260</v>
      </c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>
        <v>45291</v>
      </c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>
        <v>45322</v>
      </c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>
        <v>45351</v>
      </c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>
        <v>45382</v>
      </c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>
        <v>45412</v>
      </c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>
        <v>45443</v>
      </c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>
        <v>45473</v>
      </c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>
        <v>45504</v>
      </c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>
        <v>45535</v>
      </c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>
        <v>45565</v>
      </c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>
        <v>45596</v>
      </c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>
        <v>45626</v>
      </c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>
        <v>45657</v>
      </c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>
        <v>45688</v>
      </c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>
        <v>45716</v>
      </c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>
        <v>45747</v>
      </c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>
        <v>45777</v>
      </c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>
        <v>45808</v>
      </c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>
        <v>45838</v>
      </c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>
        <v>45869</v>
      </c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>
        <v>45900</v>
      </c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>
        <v>45930</v>
      </c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>
        <v>45961</v>
      </c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>
        <v>45991</v>
      </c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>
        <v>46022</v>
      </c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 t="n"/>
      <c r="C60" s="3959" t="n"/>
      <c r="D60" s="3959" t="n"/>
      <c r="E60" s="3959" t="n"/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 t="n"/>
      <c r="C61" s="3959" t="n"/>
      <c r="D61" s="3959" t="n"/>
      <c r="E61" s="3959" t="n"/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 t="n"/>
      <c r="C62" s="3959" t="n"/>
      <c r="D62" s="3959" t="n"/>
      <c r="E62" s="3959" t="n"/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2026-02-18T20:46:54Z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