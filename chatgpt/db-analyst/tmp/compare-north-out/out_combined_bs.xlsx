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mbined | B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'Combined | BS'!$A$1:$AS$32</definedName>
  </definedNames>
  <calcPr calcId="191028" fullCalcOnLoad="1"/>
</workbook>
</file>

<file path=xl/styles.xml><?xml version="1.0" encoding="utf-8"?>
<styleSheet xmlns="http://schemas.openxmlformats.org/spreadsheetml/2006/main">
  <numFmts count="41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dd-mmm-yy"/>
    <numFmt numFmtId="204" formatCode="_-* #,##0.00_-;\-* #,##0.00_-;_-* &quot;-&quot;??_-;_-@_-"/>
  </numFmts>
  <fonts count="2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  <font>
      <name val="Arial"/>
      <b val="1"/>
      <color theme="1"/>
      <sz val="10"/>
    </font>
    <font>
      <name val="Arial"/>
      <b val="1"/>
      <color rgb="FF008000"/>
      <sz val="10"/>
    </font>
    <font>
      <name val="Arial"/>
      <b val="1"/>
      <color rgb="FF1E49E2"/>
      <sz val="10"/>
    </font>
  </fonts>
  <fills count="38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137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</border>
    <border>
      <left/>
      <right/>
      <bottom style="medium">
        <color rgb="FFD9D9D9"/>
      </bottom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4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99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  <xf numFmtId="202" fontId="218" fillId="37" borderId="135" applyAlignment="1" pivotButton="0" quotePrefix="0" xfId="0">
      <alignment horizontal="left" vertical="center"/>
    </xf>
    <xf numFmtId="202" fontId="219" fillId="37" borderId="135" applyAlignment="1" pivotButton="0" quotePrefix="0" xfId="0">
      <alignment horizontal="left" vertical="center"/>
    </xf>
    <xf numFmtId="203" fontId="209" fillId="31" borderId="125" applyAlignment="1" pivotButton="0" quotePrefix="0" xfId="0">
      <alignment horizontal="left" vertical="center"/>
    </xf>
    <xf numFmtId="202" fontId="220" fillId="37" borderId="135" applyAlignment="1" pivotButton="0" quotePrefix="0" xfId="0">
      <alignment horizontal="left" vertical="center"/>
    </xf>
    <xf numFmtId="0" fontId="203" fillId="37" borderId="136" applyAlignment="1" pivotButton="0" quotePrefix="0" xfId="0">
      <alignment horizontal="left" vertical="center"/>
    </xf>
    <xf numFmtId="10" fontId="218" fillId="37" borderId="135" applyAlignment="1" pivotButton="0" quotePrefix="0" xfId="0">
      <alignment horizontal="left" vertical="center"/>
    </xf>
    <xf numFmtId="17" fontId="212" fillId="31" borderId="125" applyAlignment="1" pivotButton="0" quotePrefix="0" xfId="0">
      <alignment horizontal="left" vertical="center"/>
    </xf>
    <xf numFmtId="10" fontId="208" fillId="0" borderId="125" applyAlignment="1" pivotButton="0" quotePrefix="0" xfId="0">
      <alignment horizontal="left" vertical="center"/>
    </xf>
    <xf numFmtId="203" fontId="212" fillId="31" borderId="125" applyAlignment="1" pivotButton="0" quotePrefix="0" xfId="0">
      <alignment horizontal="left" vertical="center"/>
    </xf>
    <xf numFmtId="0" fontId="218" fillId="37" borderId="135" applyAlignment="1" pivotButton="0" quotePrefix="0" xfId="0">
      <alignment horizontal="left" vertical="center"/>
    </xf>
    <xf numFmtId="10" fontId="213" fillId="32" borderId="125" applyAlignment="1" pivotButton="0" quotePrefix="0" xfId="0">
      <alignment horizontal="left" vertical="center"/>
    </xf>
    <xf numFmtId="203" fontId="209" fillId="31" borderId="125" applyAlignment="1" pivotButton="0" quotePrefix="0" xfId="0">
      <alignment horizontal="left" vertical="center"/>
    </xf>
    <xf numFmtId="203" fontId="212" fillId="31" borderId="125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trial_balance.xlsx (Process-TB)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97">
        <f>'Control | Setup'!A22</f>
        <v/>
      </c>
      <c r="H8" s="3997">
        <f>'Control | Setup'!A23</f>
        <v/>
      </c>
      <c r="I8" s="3997">
        <f>'Control | Setup'!A24</f>
        <v/>
      </c>
      <c r="J8" s="3997">
        <f>'Control | Setup'!A25</f>
        <v/>
      </c>
      <c r="K8" s="3997">
        <f>'Control | Setup'!A26</f>
        <v/>
      </c>
      <c r="L8" s="3997">
        <f>'Control | Setup'!A27</f>
        <v/>
      </c>
      <c r="M8" s="3997">
        <f>'Control | Setup'!A28</f>
        <v/>
      </c>
      <c r="N8" s="3997">
        <f>'Control | Setup'!A29</f>
        <v/>
      </c>
      <c r="O8" s="3997">
        <f>'Control | Setup'!A30</f>
        <v/>
      </c>
      <c r="P8" s="3997">
        <f>'Control | Setup'!A31</f>
        <v/>
      </c>
      <c r="Q8" s="3997">
        <f>'Control | Setup'!A32</f>
        <v/>
      </c>
      <c r="R8" s="3997">
        <f>'Control | Setup'!A33</f>
        <v/>
      </c>
      <c r="S8" s="3997">
        <f>'Control | Setup'!A34</f>
        <v/>
      </c>
      <c r="T8" s="3997">
        <f>'Control | Setup'!A35</f>
        <v/>
      </c>
      <c r="U8" s="3997">
        <f>'Control | Setup'!A36</f>
        <v/>
      </c>
      <c r="V8" s="3997">
        <f>'Control | Setup'!A37</f>
        <v/>
      </c>
      <c r="W8" s="3997">
        <f>'Control | Setup'!A38</f>
        <v/>
      </c>
      <c r="X8" s="3997">
        <f>'Control | Setup'!A39</f>
        <v/>
      </c>
      <c r="Y8" s="3997">
        <f>'Control | Setup'!A40</f>
        <v/>
      </c>
      <c r="Z8" s="3997">
        <f>'Control | Setup'!A41</f>
        <v/>
      </c>
      <c r="AA8" s="3997">
        <f>'Control | Setup'!A42</f>
        <v/>
      </c>
      <c r="AB8" s="3997">
        <f>'Control | Setup'!A43</f>
        <v/>
      </c>
      <c r="AC8" s="3997">
        <f>'Control | Setup'!A44</f>
        <v/>
      </c>
      <c r="AD8" s="3997">
        <f>'Control | Setup'!A45</f>
        <v/>
      </c>
      <c r="AE8" s="3997">
        <f>'Control | Setup'!A46</f>
        <v/>
      </c>
      <c r="AF8" s="3997">
        <f>'Control | Setup'!A47</f>
        <v/>
      </c>
      <c r="AG8" s="3997">
        <f>'Control | Setup'!A48</f>
        <v/>
      </c>
      <c r="AH8" s="3997">
        <f>'Control | Setup'!A49</f>
        <v/>
      </c>
      <c r="AI8" s="3997">
        <f>'Control | Setup'!A50</f>
        <v/>
      </c>
      <c r="AJ8" s="3997">
        <f>'Control | Setup'!A51</f>
        <v/>
      </c>
      <c r="AK8" s="3997">
        <f>'Control | Setup'!A52</f>
        <v/>
      </c>
      <c r="AL8" s="3997">
        <f>'Control | Setup'!A53</f>
        <v/>
      </c>
      <c r="AM8" s="3997">
        <f>'Control | Setup'!A54</f>
        <v/>
      </c>
      <c r="AN8" s="3997">
        <f>'Control | Setup'!A55</f>
        <v/>
      </c>
      <c r="AO8" s="3997">
        <f>'Control | Setup'!A56</f>
        <v/>
      </c>
      <c r="AP8" s="399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n">
        <v>1000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 t="n">
        <v>41023.7</v>
      </c>
      <c r="H9" s="3929" t="n">
        <v>39557.06</v>
      </c>
      <c r="I9" s="3929" t="n">
        <v>41651.14</v>
      </c>
      <c r="J9" s="3929" t="n">
        <v>42756.86</v>
      </c>
      <c r="K9" s="3929" t="n">
        <v>40812.07</v>
      </c>
      <c r="L9" s="3929" t="n">
        <v>46209.07</v>
      </c>
      <c r="M9" s="3929" t="n">
        <v>44163.1</v>
      </c>
      <c r="N9" s="3929" t="n">
        <v>42719.75</v>
      </c>
      <c r="O9" s="3929" t="n">
        <v>45430.74</v>
      </c>
      <c r="P9" s="3929" t="n">
        <v>48988.91</v>
      </c>
      <c r="Q9" s="3929" t="n">
        <v>790023.03</v>
      </c>
      <c r="R9" s="3929" t="n">
        <v>597759.4</v>
      </c>
      <c r="S9" s="3929" t="n">
        <v>1776541.04</v>
      </c>
      <c r="T9" s="3929" t="n">
        <v>2119578.37</v>
      </c>
      <c r="U9" s="3929" t="n">
        <v>2783985.56</v>
      </c>
      <c r="V9" s="3929" t="n">
        <v>2889533.26</v>
      </c>
      <c r="W9" s="3929" t="n">
        <v>3539303.77</v>
      </c>
      <c r="X9" s="3929" t="n">
        <v>3655467.08</v>
      </c>
      <c r="Y9" s="3929" t="n">
        <v>4442624.42</v>
      </c>
      <c r="Z9" s="3929" t="n">
        <v>4272562.25</v>
      </c>
      <c r="AA9" s="3929" t="n">
        <v>5042780.54</v>
      </c>
      <c r="AB9" s="3929" t="n">
        <v>5840215.55</v>
      </c>
      <c r="AC9" s="3929" t="n">
        <v>5841481.2</v>
      </c>
      <c r="AD9" s="3929" t="n">
        <v>7373215.5</v>
      </c>
      <c r="AE9" s="3929" t="n">
        <v>7460901.27</v>
      </c>
      <c r="AF9" s="3929" t="n">
        <v>8124172.74</v>
      </c>
      <c r="AG9" s="3929" t="n">
        <v>8483836.439999999</v>
      </c>
      <c r="AH9" s="3929" t="n">
        <v>9180881.43</v>
      </c>
      <c r="AI9" s="3929" t="n">
        <v>9134460.189999999</v>
      </c>
      <c r="AJ9" s="3929" t="n">
        <v>10236006.7</v>
      </c>
      <c r="AK9" s="3929" t="n">
        <v>10739498.83</v>
      </c>
      <c r="AL9" s="3929" t="n">
        <v>10865230.63</v>
      </c>
      <c r="AM9" s="3929" t="n">
        <v>11564414.84</v>
      </c>
      <c r="AN9" s="3929" t="n">
        <v>11204133.05</v>
      </c>
      <c r="AO9" s="3929" t="n">
        <v>12901041.55</v>
      </c>
      <c r="AP9" s="3929" t="n">
        <v>14066235.9</v>
      </c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n">
        <v>1100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 t="n">
        <v>2859867.61</v>
      </c>
      <c r="H10" s="3929" t="n">
        <v>3284302.42</v>
      </c>
      <c r="I10" s="3929" t="n">
        <v>2780941.47</v>
      </c>
      <c r="J10" s="3929" t="n">
        <v>2960219.09</v>
      </c>
      <c r="K10" s="3929" t="n">
        <v>3381777.01</v>
      </c>
      <c r="L10" s="3929" t="n">
        <v>3623144.16</v>
      </c>
      <c r="M10" s="3929" t="n">
        <v>3167504.2</v>
      </c>
      <c r="N10" s="3929" t="n">
        <v>2895578.18</v>
      </c>
      <c r="O10" s="3929" t="n">
        <v>3777888.55</v>
      </c>
      <c r="P10" s="3929" t="n">
        <v>3683078.53</v>
      </c>
      <c r="Q10" s="3929" t="n">
        <v>3457882.89</v>
      </c>
      <c r="R10" s="3929" t="n">
        <v>3950095.46</v>
      </c>
      <c r="S10" s="3929" t="n">
        <v>2935322.74</v>
      </c>
      <c r="T10" s="3929" t="n">
        <v>3115596.04</v>
      </c>
      <c r="U10" s="3929" t="n">
        <v>3049858.76</v>
      </c>
      <c r="V10" s="3929" t="n">
        <v>3484456.39</v>
      </c>
      <c r="W10" s="3929" t="n">
        <v>3388050.69</v>
      </c>
      <c r="X10" s="3929" t="n">
        <v>3591192.33</v>
      </c>
      <c r="Y10" s="3929" t="n">
        <v>3566598.66</v>
      </c>
      <c r="Z10" s="3929" t="n">
        <v>4162721.42</v>
      </c>
      <c r="AA10" s="3929" t="n">
        <v>3804972.01</v>
      </c>
      <c r="AB10" s="3929" t="n">
        <v>4271642.96</v>
      </c>
      <c r="AC10" s="3929" t="n">
        <v>4900906.37</v>
      </c>
      <c r="AD10" s="3929" t="n">
        <v>3750479.66</v>
      </c>
      <c r="AE10" s="3929" t="n">
        <v>3814697.61</v>
      </c>
      <c r="AF10" s="3929" t="n">
        <v>4032361.24</v>
      </c>
      <c r="AG10" s="3929" t="n">
        <v>4215050.45</v>
      </c>
      <c r="AH10" s="3929" t="n">
        <v>4121441.68</v>
      </c>
      <c r="AI10" s="3929" t="n">
        <v>4531517.54</v>
      </c>
      <c r="AJ10" s="3929" t="n">
        <v>4352517.3</v>
      </c>
      <c r="AK10" s="3929" t="n">
        <v>4449577.04</v>
      </c>
      <c r="AL10" s="3929" t="n">
        <v>4758999.6</v>
      </c>
      <c r="AM10" s="3929" t="n">
        <v>4434027.78</v>
      </c>
      <c r="AN10" s="3929" t="n">
        <v>5913684.73</v>
      </c>
      <c r="AO10" s="3929" t="n">
        <v>5286741.5</v>
      </c>
      <c r="AP10" s="3929" t="n">
        <v>4983244.9</v>
      </c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n">
        <v>1200</v>
      </c>
      <c r="D11" s="3959" t="inlineStr">
        <is>
          <t>+</t>
        </is>
      </c>
      <c r="E11" s="3959" t="inlineStr">
        <is>
          <t>TB/Map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29" t="n">
        <v>0</v>
      </c>
      <c r="L11" s="3929" t="n">
        <v>0</v>
      </c>
      <c r="M11" s="3929" t="n">
        <v>0</v>
      </c>
      <c r="N11" s="3929" t="n">
        <v>0</v>
      </c>
      <c r="O11" s="3929" t="n">
        <v>0</v>
      </c>
      <c r="P11" s="3929" t="n">
        <v>0</v>
      </c>
      <c r="Q11" s="3929" t="n">
        <v>0</v>
      </c>
      <c r="R11" s="3929" t="n">
        <v>0</v>
      </c>
      <c r="S11" s="3929" t="n">
        <v>0</v>
      </c>
      <c r="T11" s="3929" t="n">
        <v>0</v>
      </c>
      <c r="U11" s="3929" t="n">
        <v>0</v>
      </c>
      <c r="V11" s="3929" t="n">
        <v>0</v>
      </c>
      <c r="W11" s="3929" t="n">
        <v>0</v>
      </c>
      <c r="X11" s="3929" t="n">
        <v>0</v>
      </c>
      <c r="Y11" s="3929" t="n">
        <v>0</v>
      </c>
      <c r="Z11" s="3929" t="n">
        <v>0</v>
      </c>
      <c r="AA11" s="3929" t="n">
        <v>0</v>
      </c>
      <c r="AB11" s="3929" t="n">
        <v>0</v>
      </c>
      <c r="AC11" s="3929" t="n">
        <v>0</v>
      </c>
      <c r="AD11" s="3929" t="n">
        <v>0</v>
      </c>
      <c r="AE11" s="3929" t="n">
        <v>0</v>
      </c>
      <c r="AF11" s="3929" t="n">
        <v>0</v>
      </c>
      <c r="AG11" s="3929" t="n">
        <v>0</v>
      </c>
      <c r="AH11" s="3929" t="n">
        <v>0</v>
      </c>
      <c r="AI11" s="3929" t="n">
        <v>0</v>
      </c>
      <c r="AJ11" s="3929" t="n">
        <v>0</v>
      </c>
      <c r="AK11" s="3929" t="n">
        <v>0</v>
      </c>
      <c r="AL11" s="3929" t="n">
        <v>0</v>
      </c>
      <c r="AM11" s="3929" t="n">
        <v>0</v>
      </c>
      <c r="AN11" s="3929" t="n">
        <v>0</v>
      </c>
      <c r="AO11" s="3929" t="n">
        <v>0</v>
      </c>
      <c r="AP11" s="3929" t="n">
        <v>0</v>
      </c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n">
        <v>1300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 t="n">
        <v>41023.7</v>
      </c>
      <c r="H12" s="3929" t="n">
        <v>39557.06</v>
      </c>
      <c r="I12" s="3929" t="n">
        <v>41651.14</v>
      </c>
      <c r="J12" s="3929" t="n">
        <v>42756.86</v>
      </c>
      <c r="K12" s="3929" t="n">
        <v>40812.07</v>
      </c>
      <c r="L12" s="3929" t="n">
        <v>46209.07</v>
      </c>
      <c r="M12" s="3929" t="n">
        <v>44163.1</v>
      </c>
      <c r="N12" s="3929" t="n">
        <v>42719.75</v>
      </c>
      <c r="O12" s="3929" t="n">
        <v>45430.74</v>
      </c>
      <c r="P12" s="3929" t="n">
        <v>48988.91</v>
      </c>
      <c r="Q12" s="3929" t="n">
        <v>48321.24</v>
      </c>
      <c r="R12" s="3929" t="n">
        <v>52589.24</v>
      </c>
      <c r="S12" s="3929" t="n">
        <v>42877.99</v>
      </c>
      <c r="T12" s="3929" t="n">
        <v>42291.51</v>
      </c>
      <c r="U12" s="3929" t="n">
        <v>44832.92</v>
      </c>
      <c r="V12" s="3929" t="n">
        <v>47702.08</v>
      </c>
      <c r="W12" s="3929" t="n">
        <v>46044.19</v>
      </c>
      <c r="X12" s="3929" t="n">
        <v>49873.88</v>
      </c>
      <c r="Y12" s="3929" t="n">
        <v>51621.34</v>
      </c>
      <c r="Z12" s="3929" t="n">
        <v>51662.45</v>
      </c>
      <c r="AA12" s="3929" t="n">
        <v>51545.86</v>
      </c>
      <c r="AB12" s="3929" t="n">
        <v>59063.04</v>
      </c>
      <c r="AC12" s="3929" t="n">
        <v>59399.61</v>
      </c>
      <c r="AD12" s="3929" t="n">
        <v>55210.59</v>
      </c>
      <c r="AE12" s="3929" t="n">
        <v>53992.28</v>
      </c>
      <c r="AF12" s="3929" t="n">
        <v>53375.31</v>
      </c>
      <c r="AG12" s="3929" t="n">
        <v>53728.94</v>
      </c>
      <c r="AH12" s="3929" t="n">
        <v>55996.12</v>
      </c>
      <c r="AI12" s="3929" t="n">
        <v>55606.98</v>
      </c>
      <c r="AJ12" s="3929" t="n">
        <v>63317.26</v>
      </c>
      <c r="AK12" s="3929" t="n">
        <v>58729.88</v>
      </c>
      <c r="AL12" s="3929" t="n">
        <v>60013.37</v>
      </c>
      <c r="AM12" s="3929" t="n">
        <v>59834.49</v>
      </c>
      <c r="AN12" s="3929" t="n">
        <v>71183.10000000001</v>
      </c>
      <c r="AO12" s="3929" t="n">
        <v>69659.03999999999</v>
      </c>
      <c r="AP12" s="3929" t="n">
        <v>73429.05</v>
      </c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86">
        <f>IF(COUNT(G9:G12)=0,"",SUM(G9:G12))</f>
        <v/>
      </c>
      <c r="H13" s="3986">
        <f>IF(COUNT(H9:H12)=0,"",SUM(H9:H12))</f>
        <v/>
      </c>
      <c r="I13" s="3986">
        <f>IF(COUNT(I9:I12)=0,"",SUM(I9:I12))</f>
        <v/>
      </c>
      <c r="J13" s="3986">
        <f>IF(COUNT(J9:J12)=0,"",SUM(J9:J12))</f>
        <v/>
      </c>
      <c r="K13" s="3986">
        <f>IF(COUNT(K9:K12)=0,"",SUM(K9:K12))</f>
        <v/>
      </c>
      <c r="L13" s="3986">
        <f>IF(COUNT(L9:L12)=0,"",SUM(L9:L12))</f>
        <v/>
      </c>
      <c r="M13" s="3986">
        <f>IF(COUNT(M9:M12)=0,"",SUM(M9:M12))</f>
        <v/>
      </c>
      <c r="N13" s="3986">
        <f>IF(COUNT(N9:N12)=0,"",SUM(N9:N12))</f>
        <v/>
      </c>
      <c r="O13" s="3986">
        <f>IF(COUNT(O9:O12)=0,"",SUM(O9:O12))</f>
        <v/>
      </c>
      <c r="P13" s="3986">
        <f>IF(COUNT(P9:P12)=0,"",SUM(P9:P12))</f>
        <v/>
      </c>
      <c r="Q13" s="3986">
        <f>IF(COUNT(Q9:Q12)=0,"",SUM(Q9:Q12))</f>
        <v/>
      </c>
      <c r="R13" s="3986">
        <f>IF(COUNT(R9:R12)=0,"",SUM(R9:R12))</f>
        <v/>
      </c>
      <c r="S13" s="3986">
        <f>IF(COUNT(S9:S12)=0,"",SUM(S9:S12))</f>
        <v/>
      </c>
      <c r="T13" s="3986">
        <f>IF(COUNT(T9:T12)=0,"",SUM(T9:T12))</f>
        <v/>
      </c>
      <c r="U13" s="3986">
        <f>IF(COUNT(U9:U12)=0,"",SUM(U9:U12))</f>
        <v/>
      </c>
      <c r="V13" s="3986">
        <f>IF(COUNT(V9:V12)=0,"",SUM(V9:V12))</f>
        <v/>
      </c>
      <c r="W13" s="3986">
        <f>IF(COUNT(W9:W12)=0,"",SUM(W9:W12))</f>
        <v/>
      </c>
      <c r="X13" s="3986">
        <f>IF(COUNT(X9:X12)=0,"",SUM(X9:X12))</f>
        <v/>
      </c>
      <c r="Y13" s="3986">
        <f>IF(COUNT(Y9:Y12)=0,"",SUM(Y9:Y12))</f>
        <v/>
      </c>
      <c r="Z13" s="3986">
        <f>IF(COUNT(Z9:Z12)=0,"",SUM(Z9:Z12))</f>
        <v/>
      </c>
      <c r="AA13" s="3986">
        <f>IF(COUNT(AA9:AA12)=0,"",SUM(AA9:AA12))</f>
        <v/>
      </c>
      <c r="AB13" s="3986">
        <f>IF(COUNT(AB9:AB12)=0,"",SUM(AB9:AB12))</f>
        <v/>
      </c>
      <c r="AC13" s="3986">
        <f>IF(COUNT(AC9:AC12)=0,"",SUM(AC9:AC12))</f>
        <v/>
      </c>
      <c r="AD13" s="3986">
        <f>IF(COUNT(AD9:AD12)=0,"",SUM(AD9:AD12))</f>
        <v/>
      </c>
      <c r="AE13" s="3986">
        <f>IF(COUNT(AE9:AE12)=0,"",SUM(AE9:AE12))</f>
        <v/>
      </c>
      <c r="AF13" s="3986">
        <f>IF(COUNT(AF9:AF12)=0,"",SUM(AF9:AF12))</f>
        <v/>
      </c>
      <c r="AG13" s="3986">
        <f>IF(COUNT(AG9:AG12)=0,"",SUM(AG9:AG12))</f>
        <v/>
      </c>
      <c r="AH13" s="3986">
        <f>IF(COUNT(AH9:AH12)=0,"",SUM(AH9:AH12))</f>
        <v/>
      </c>
      <c r="AI13" s="3986">
        <f>IF(COUNT(AI9:AI12)=0,"",SUM(AI9:AI12))</f>
        <v/>
      </c>
      <c r="AJ13" s="3986">
        <f>IF(COUNT(AJ9:AJ12)=0,"",SUM(AJ9:AJ12))</f>
        <v/>
      </c>
      <c r="AK13" s="3986">
        <f>IF(COUNT(AK9:AK12)=0,"",SUM(AK9:AK12))</f>
        <v/>
      </c>
      <c r="AL13" s="3986">
        <f>IF(COUNT(AL9:AL12)=0,"",SUM(AL9:AL12))</f>
        <v/>
      </c>
      <c r="AM13" s="3986">
        <f>IF(COUNT(AM9:AM12)=0,"",SUM(AM9:AM12))</f>
        <v/>
      </c>
      <c r="AN13" s="3986">
        <f>IF(COUNT(AN9:AN12)=0,"",SUM(AN9:AN12))</f>
        <v/>
      </c>
      <c r="AO13" s="3986">
        <f>IF(COUNT(AO9:AO12)=0,"",SUM(AO9:AO12))</f>
        <v/>
      </c>
      <c r="AP13" s="3986">
        <f>IF(COUNT(AP9:AP12)=0,"",SUM(AP9:AP12))</f>
        <v/>
      </c>
      <c r="AQ13" s="3987">
        <f>R13</f>
        <v/>
      </c>
      <c r="AR13" s="3987">
        <f>AD13</f>
        <v/>
      </c>
      <c r="AS13" s="3987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n">
        <v>1500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 t="n">
        <v>3545588.97</v>
      </c>
      <c r="H14" s="3929" t="n">
        <v>3552680.14</v>
      </c>
      <c r="I14" s="3929" t="n">
        <v>3559771.32</v>
      </c>
      <c r="J14" s="3929" t="n">
        <v>3566862.5</v>
      </c>
      <c r="K14" s="3929" t="n">
        <v>3573953.68</v>
      </c>
      <c r="L14" s="3929" t="n">
        <v>3581044.86</v>
      </c>
      <c r="M14" s="3929" t="n">
        <v>3588136.03</v>
      </c>
      <c r="N14" s="3929" t="n">
        <v>3595227.21</v>
      </c>
      <c r="O14" s="3929" t="n">
        <v>3602318.39</v>
      </c>
      <c r="P14" s="3929" t="n">
        <v>3609409.57</v>
      </c>
      <c r="Q14" s="3929" t="n">
        <v>3616500.75</v>
      </c>
      <c r="R14" s="3929" t="n">
        <v>3623591.92</v>
      </c>
      <c r="S14" s="3929" t="n">
        <v>3630683.1</v>
      </c>
      <c r="T14" s="3929" t="n">
        <v>3637774.28</v>
      </c>
      <c r="U14" s="3929" t="n">
        <v>3644865.46</v>
      </c>
      <c r="V14" s="3929" t="n">
        <v>3651956.63</v>
      </c>
      <c r="W14" s="3929" t="n">
        <v>3659047.81</v>
      </c>
      <c r="X14" s="3929" t="n">
        <v>3666138.99</v>
      </c>
      <c r="Y14" s="3929" t="n">
        <v>3673230.17</v>
      </c>
      <c r="Z14" s="3929" t="n">
        <v>3680321.35</v>
      </c>
      <c r="AA14" s="3929" t="n">
        <v>3687412.52</v>
      </c>
      <c r="AB14" s="3929" t="n">
        <v>3694503.7</v>
      </c>
      <c r="AC14" s="3929" t="n">
        <v>3701594.88</v>
      </c>
      <c r="AD14" s="3929" t="n">
        <v>3708686.06</v>
      </c>
      <c r="AE14" s="3929" t="n">
        <v>3715777.24</v>
      </c>
      <c r="AF14" s="3929" t="n">
        <v>3722868.41</v>
      </c>
      <c r="AG14" s="3929" t="n">
        <v>3729959.59</v>
      </c>
      <c r="AH14" s="3929" t="n">
        <v>3737050.77</v>
      </c>
      <c r="AI14" s="3929" t="n">
        <v>3744141.95</v>
      </c>
      <c r="AJ14" s="3929" t="n">
        <v>3751233.13</v>
      </c>
      <c r="AK14" s="3929" t="n">
        <v>3758324.3</v>
      </c>
      <c r="AL14" s="3929" t="n">
        <v>3765415.48</v>
      </c>
      <c r="AM14" s="3929" t="n">
        <v>3772506.66</v>
      </c>
      <c r="AN14" s="3929" t="n">
        <v>3779597.84</v>
      </c>
      <c r="AO14" s="3929" t="n">
        <v>3786689.02</v>
      </c>
      <c r="AP14" s="3929" t="n">
        <v>3793780.19</v>
      </c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n">
        <v>1600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 t="n">
        <v>-29546.57</v>
      </c>
      <c r="H15" s="3929" t="n">
        <v>-59211.34</v>
      </c>
      <c r="I15" s="3929" t="n">
        <v>-88994.28</v>
      </c>
      <c r="J15" s="3929" t="n">
        <v>-118895.42</v>
      </c>
      <c r="K15" s="3929" t="n">
        <v>-148914.74</v>
      </c>
      <c r="L15" s="3929" t="n">
        <v>-179052.24</v>
      </c>
      <c r="M15" s="3929" t="n">
        <v>-209307.94</v>
      </c>
      <c r="N15" s="3929" t="n">
        <v>-239681.81</v>
      </c>
      <c r="O15" s="3929" t="n">
        <v>-270173.88</v>
      </c>
      <c r="P15" s="3929" t="n">
        <v>-300784.13</v>
      </c>
      <c r="Q15" s="3929" t="n">
        <v>-331512.57</v>
      </c>
      <c r="R15" s="3929" t="n">
        <v>-362359.19</v>
      </c>
      <c r="S15" s="3929" t="n">
        <v>-393324</v>
      </c>
      <c r="T15" s="3929" t="n">
        <v>-424407</v>
      </c>
      <c r="U15" s="3929" t="n">
        <v>-455608.18</v>
      </c>
      <c r="V15" s="3929" t="n">
        <v>-486927.55</v>
      </c>
      <c r="W15" s="3929" t="n">
        <v>-518365.11</v>
      </c>
      <c r="X15" s="3929" t="n">
        <v>-549920.85</v>
      </c>
      <c r="Y15" s="3929" t="n">
        <v>-581594.78</v>
      </c>
      <c r="Z15" s="3929" t="n">
        <v>-613386.89</v>
      </c>
      <c r="AA15" s="3929" t="n">
        <v>-645297.1899999999</v>
      </c>
      <c r="AB15" s="3929" t="n">
        <v>-677325.6800000001</v>
      </c>
      <c r="AC15" s="3929" t="n">
        <v>-709472.35</v>
      </c>
      <c r="AD15" s="3929" t="n">
        <v>-741737.21</v>
      </c>
      <c r="AE15" s="3929" t="n">
        <v>-774120.26</v>
      </c>
      <c r="AF15" s="3929" t="n">
        <v>-806621.49</v>
      </c>
      <c r="AG15" s="3929" t="n">
        <v>-839240.91</v>
      </c>
      <c r="AH15" s="3929" t="n">
        <v>-871978.51</v>
      </c>
      <c r="AI15" s="3929" t="n">
        <v>-904834.3</v>
      </c>
      <c r="AJ15" s="3929" t="n">
        <v>-937808.28</v>
      </c>
      <c r="AK15" s="3929" t="n">
        <v>-970900.45</v>
      </c>
      <c r="AL15" s="3929" t="n">
        <v>-1004110.8</v>
      </c>
      <c r="AM15" s="3929" t="n">
        <v>-1037439.33</v>
      </c>
      <c r="AN15" s="3929" t="n">
        <v>-1070886.05</v>
      </c>
      <c r="AO15" s="3929" t="n">
        <v>-1104450.96</v>
      </c>
      <c r="AP15" s="3929" t="n">
        <v>-1138134.06</v>
      </c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86">
        <f>IF(COUNT(G13:G15)=0,"",SUM(G13:G15))</f>
        <v/>
      </c>
      <c r="H16" s="3986">
        <f>IF(COUNT(H13:H15)=0,"",SUM(H13:H15))</f>
        <v/>
      </c>
      <c r="I16" s="3986">
        <f>IF(COUNT(I13:I15)=0,"",SUM(I13:I15))</f>
        <v/>
      </c>
      <c r="J16" s="3986">
        <f>IF(COUNT(J13:J15)=0,"",SUM(J13:J15))</f>
        <v/>
      </c>
      <c r="K16" s="3986">
        <f>IF(COUNT(K13:K15)=0,"",SUM(K13:K15))</f>
        <v/>
      </c>
      <c r="L16" s="3986">
        <f>IF(COUNT(L13:L15)=0,"",SUM(L13:L15))</f>
        <v/>
      </c>
      <c r="M16" s="3986">
        <f>IF(COUNT(M13:M15)=0,"",SUM(M13:M15))</f>
        <v/>
      </c>
      <c r="N16" s="3986">
        <f>IF(COUNT(N13:N15)=0,"",SUM(N13:N15))</f>
        <v/>
      </c>
      <c r="O16" s="3986">
        <f>IF(COUNT(O13:O15)=0,"",SUM(O13:O15))</f>
        <v/>
      </c>
      <c r="P16" s="3986">
        <f>IF(COUNT(P13:P15)=0,"",SUM(P13:P15))</f>
        <v/>
      </c>
      <c r="Q16" s="3986">
        <f>IF(COUNT(Q13:Q15)=0,"",SUM(Q13:Q15))</f>
        <v/>
      </c>
      <c r="R16" s="3986">
        <f>IF(COUNT(R13:R15)=0,"",SUM(R13:R15))</f>
        <v/>
      </c>
      <c r="S16" s="3986">
        <f>IF(COUNT(S13:S15)=0,"",SUM(S13:S15))</f>
        <v/>
      </c>
      <c r="T16" s="3986">
        <f>IF(COUNT(T13:T15)=0,"",SUM(T13:T15))</f>
        <v/>
      </c>
      <c r="U16" s="3986">
        <f>IF(COUNT(U13:U15)=0,"",SUM(U13:U15))</f>
        <v/>
      </c>
      <c r="V16" s="3986">
        <f>IF(COUNT(V13:V15)=0,"",SUM(V13:V15))</f>
        <v/>
      </c>
      <c r="W16" s="3986">
        <f>IF(COUNT(W13:W15)=0,"",SUM(W13:W15))</f>
        <v/>
      </c>
      <c r="X16" s="3986">
        <f>IF(COUNT(X13:X15)=0,"",SUM(X13:X15))</f>
        <v/>
      </c>
      <c r="Y16" s="3986">
        <f>IF(COUNT(Y13:Y15)=0,"",SUM(Y13:Y15))</f>
        <v/>
      </c>
      <c r="Z16" s="3986">
        <f>IF(COUNT(Z13:Z15)=0,"",SUM(Z13:Z15))</f>
        <v/>
      </c>
      <c r="AA16" s="3986">
        <f>IF(COUNT(AA13:AA15)=0,"",SUM(AA13:AA15))</f>
        <v/>
      </c>
      <c r="AB16" s="3986">
        <f>IF(COUNT(AB13:AB15)=0,"",SUM(AB13:AB15))</f>
        <v/>
      </c>
      <c r="AC16" s="3986">
        <f>IF(COUNT(AC13:AC15)=0,"",SUM(AC13:AC15))</f>
        <v/>
      </c>
      <c r="AD16" s="3986">
        <f>IF(COUNT(AD13:AD15)=0,"",SUM(AD13:AD15))</f>
        <v/>
      </c>
      <c r="AE16" s="3986">
        <f>IF(COUNT(AE13:AE15)=0,"",SUM(AE13:AE15))</f>
        <v/>
      </c>
      <c r="AF16" s="3986">
        <f>IF(COUNT(AF13:AF15)=0,"",SUM(AF13:AF15))</f>
        <v/>
      </c>
      <c r="AG16" s="3986">
        <f>IF(COUNT(AG13:AG15)=0,"",SUM(AG13:AG15))</f>
        <v/>
      </c>
      <c r="AH16" s="3986">
        <f>IF(COUNT(AH13:AH15)=0,"",SUM(AH13:AH15))</f>
        <v/>
      </c>
      <c r="AI16" s="3986">
        <f>IF(COUNT(AI13:AI15)=0,"",SUM(AI13:AI15))</f>
        <v/>
      </c>
      <c r="AJ16" s="3986">
        <f>IF(COUNT(AJ13:AJ15)=0,"",SUM(AJ13:AJ15))</f>
        <v/>
      </c>
      <c r="AK16" s="3986">
        <f>IF(COUNT(AK13:AK15)=0,"",SUM(AK13:AK15))</f>
        <v/>
      </c>
      <c r="AL16" s="3986">
        <f>IF(COUNT(AL13:AL15)=0,"",SUM(AL13:AL15))</f>
        <v/>
      </c>
      <c r="AM16" s="3986">
        <f>IF(COUNT(AM13:AM15)=0,"",SUM(AM13:AM15))</f>
        <v/>
      </c>
      <c r="AN16" s="3986">
        <f>IF(COUNT(AN13:AN15)=0,"",SUM(AN13:AN15))</f>
        <v/>
      </c>
      <c r="AO16" s="3986">
        <f>IF(COUNT(AO13:AO15)=0,"",SUM(AO13:AO15))</f>
        <v/>
      </c>
      <c r="AP16" s="3986">
        <f>IF(COUNT(AP13:AP15)=0,"",SUM(AP13:AP15))</f>
        <v/>
      </c>
      <c r="AQ16" s="3987">
        <f>R16</f>
        <v/>
      </c>
      <c r="AR16" s="3987">
        <f>AD16</f>
        <v/>
      </c>
      <c r="AS16" s="3987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n">
        <v>2000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 t="n">
        <v>-1199684.44</v>
      </c>
      <c r="H17" s="3929" t="n">
        <v>-969874.09</v>
      </c>
      <c r="I17" s="3929" t="n">
        <v>-1260054.62</v>
      </c>
      <c r="J17" s="3929" t="n">
        <v>-1396978.15</v>
      </c>
      <c r="K17" s="3929" t="n">
        <v>-981917.02</v>
      </c>
      <c r="L17" s="3929" t="n">
        <v>-1272998.63</v>
      </c>
      <c r="M17" s="3929" t="n">
        <v>-1393755.67</v>
      </c>
      <c r="N17" s="3929" t="n">
        <v>-1161444.31</v>
      </c>
      <c r="O17" s="3929" t="n">
        <v>-1447000.18</v>
      </c>
      <c r="P17" s="3929" t="n">
        <v>-1266457.03</v>
      </c>
      <c r="Q17" s="3929" t="n">
        <v>-1558302.82</v>
      </c>
      <c r="R17" s="3929" t="n">
        <v>-1314206.08</v>
      </c>
      <c r="S17" s="3929" t="n">
        <v>-1069702.58</v>
      </c>
      <c r="T17" s="3929" t="n">
        <v>-1162667.79</v>
      </c>
      <c r="U17" s="3929" t="n">
        <v>-1296965.8</v>
      </c>
      <c r="V17" s="3929" t="n">
        <v>-1343950.42</v>
      </c>
      <c r="W17" s="3929" t="n">
        <v>-1433616.09</v>
      </c>
      <c r="X17" s="3929" t="n">
        <v>-1235684.48</v>
      </c>
      <c r="Y17" s="3929" t="n">
        <v>-1470277.1</v>
      </c>
      <c r="Z17" s="3929" t="n">
        <v>-1372970.77</v>
      </c>
      <c r="AA17" s="3929" t="n">
        <v>-1263552.72</v>
      </c>
      <c r="AB17" s="3929" t="n">
        <v>-1910211.46</v>
      </c>
      <c r="AC17" s="3929" t="n">
        <v>-1941469.1</v>
      </c>
      <c r="AD17" s="3929" t="n">
        <v>-1777387.92</v>
      </c>
      <c r="AE17" s="3929" t="n">
        <v>-1386629.23</v>
      </c>
      <c r="AF17" s="3929" t="n">
        <v>-1728933.39</v>
      </c>
      <c r="AG17" s="3929" t="n">
        <v>-1726212.9</v>
      </c>
      <c r="AH17" s="3929" t="n">
        <v>-1756838.66</v>
      </c>
      <c r="AI17" s="3929" t="n">
        <v>-1559288.65</v>
      </c>
      <c r="AJ17" s="3929" t="n">
        <v>-1821809.81</v>
      </c>
      <c r="AK17" s="3929" t="n">
        <v>-1843379.54</v>
      </c>
      <c r="AL17" s="3929" t="n">
        <v>-1669435.17</v>
      </c>
      <c r="AM17" s="3929" t="n">
        <v>-1440544.08</v>
      </c>
      <c r="AN17" s="3929" t="n">
        <v>-1812600.98</v>
      </c>
      <c r="AO17" s="3929" t="n">
        <v>-2188454.98</v>
      </c>
      <c r="AP17" s="3929" t="n">
        <v>-2303660.4</v>
      </c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n">
        <v>2100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 t="n">
        <v>-61535.56</v>
      </c>
      <c r="H18" s="3929" t="n">
        <v>-59335.58</v>
      </c>
      <c r="I18" s="3929" t="n">
        <v>-62476.71</v>
      </c>
      <c r="J18" s="3929" t="n">
        <v>-64135.29</v>
      </c>
      <c r="K18" s="3929" t="n">
        <v>-61218.1</v>
      </c>
      <c r="L18" s="3929" t="n">
        <v>-69313.61</v>
      </c>
      <c r="M18" s="3929" t="n">
        <v>-66244.64999999999</v>
      </c>
      <c r="N18" s="3929" t="n">
        <v>-64079.63</v>
      </c>
      <c r="O18" s="3929" t="n">
        <v>-68146.10000000001</v>
      </c>
      <c r="P18" s="3929" t="n">
        <v>-73483.37</v>
      </c>
      <c r="Q18" s="3929" t="n">
        <v>-72481.85000000001</v>
      </c>
      <c r="R18" s="3929" t="n">
        <v>-78883.87</v>
      </c>
      <c r="S18" s="3929" t="n">
        <v>-64316.98</v>
      </c>
      <c r="T18" s="3929" t="n">
        <v>-63437.26</v>
      </c>
      <c r="U18" s="3929" t="n">
        <v>-67249.38</v>
      </c>
      <c r="V18" s="3929" t="n">
        <v>-71553.12</v>
      </c>
      <c r="W18" s="3929" t="n">
        <v>-69066.28</v>
      </c>
      <c r="X18" s="3929" t="n">
        <v>-74810.82000000001</v>
      </c>
      <c r="Y18" s="3929" t="n">
        <v>-77432.00999999999</v>
      </c>
      <c r="Z18" s="3929" t="n">
        <v>-77493.67999999999</v>
      </c>
      <c r="AA18" s="3929" t="n">
        <v>-77318.78999999999</v>
      </c>
      <c r="AB18" s="3929" t="n">
        <v>-88594.57000000001</v>
      </c>
      <c r="AC18" s="3929" t="n">
        <v>-89099.41</v>
      </c>
      <c r="AD18" s="3929" t="n">
        <v>-82815.88</v>
      </c>
      <c r="AE18" s="3929" t="n">
        <v>-80988.41</v>
      </c>
      <c r="AF18" s="3929" t="n">
        <v>-80062.97</v>
      </c>
      <c r="AG18" s="3929" t="n">
        <v>-80593.41</v>
      </c>
      <c r="AH18" s="3929" t="n">
        <v>-83994.17</v>
      </c>
      <c r="AI18" s="3929" t="n">
        <v>-83410.48</v>
      </c>
      <c r="AJ18" s="3929" t="n">
        <v>-94975.88</v>
      </c>
      <c r="AK18" s="3929" t="n">
        <v>-88094.81</v>
      </c>
      <c r="AL18" s="3929" t="n">
        <v>-90020.06</v>
      </c>
      <c r="AM18" s="3929" t="n">
        <v>-89751.73</v>
      </c>
      <c r="AN18" s="3929" t="n">
        <v>-106774.64</v>
      </c>
      <c r="AO18" s="3929" t="n">
        <v>-104488.56</v>
      </c>
      <c r="AP18" s="3929" t="n">
        <v>-110143.58</v>
      </c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n">
        <v>2200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 t="n">
        <v>-3516436.42</v>
      </c>
      <c r="H19" s="3929" t="n">
        <v>-3769315.71</v>
      </c>
      <c r="I19" s="3929" t="n">
        <v>-2546960.81</v>
      </c>
      <c r="J19" s="3929" t="n">
        <v>-2151689.82</v>
      </c>
      <c r="K19" s="3929" t="n">
        <v>-2575433.88</v>
      </c>
      <c r="L19" s="3929" t="n">
        <v>-2045961.55</v>
      </c>
      <c r="M19" s="3929" t="n">
        <v>-1024318.04</v>
      </c>
      <c r="N19" s="3929" t="n">
        <v>-552061.75</v>
      </c>
      <c r="O19" s="3929" t="n">
        <v>-681586.8</v>
      </c>
      <c r="P19" s="3929" t="n">
        <v>-263941.47</v>
      </c>
      <c r="Q19" s="3929" t="n">
        <v>0</v>
      </c>
      <c r="R19" s="3929" t="n">
        <v>0</v>
      </c>
      <c r="S19" s="3929" t="n">
        <v>0</v>
      </c>
      <c r="T19" s="3929" t="n">
        <v>0</v>
      </c>
      <c r="U19" s="3929" t="n">
        <v>0</v>
      </c>
      <c r="V19" s="3929" t="n">
        <v>0</v>
      </c>
      <c r="W19" s="3929" t="n">
        <v>0</v>
      </c>
      <c r="X19" s="3929" t="n">
        <v>0</v>
      </c>
      <c r="Y19" s="3929" t="n">
        <v>0</v>
      </c>
      <c r="Z19" s="3929" t="n">
        <v>0</v>
      </c>
      <c r="AA19" s="3929" t="n">
        <v>0</v>
      </c>
      <c r="AB19" s="3929" t="n">
        <v>0</v>
      </c>
      <c r="AC19" s="3929" t="n">
        <v>0</v>
      </c>
      <c r="AD19" s="3929" t="n">
        <v>0</v>
      </c>
      <c r="AE19" s="3929" t="n">
        <v>0</v>
      </c>
      <c r="AF19" s="3929" t="n">
        <v>0</v>
      </c>
      <c r="AG19" s="3929" t="n">
        <v>0</v>
      </c>
      <c r="AH19" s="3929" t="n">
        <v>0</v>
      </c>
      <c r="AI19" s="3929" t="n">
        <v>0</v>
      </c>
      <c r="AJ19" s="3929" t="n">
        <v>0</v>
      </c>
      <c r="AK19" s="3929" t="n">
        <v>0</v>
      </c>
      <c r="AL19" s="3929" t="n">
        <v>0</v>
      </c>
      <c r="AM19" s="3929" t="n">
        <v>0</v>
      </c>
      <c r="AN19" s="3929" t="n">
        <v>0</v>
      </c>
      <c r="AO19" s="3929" t="n">
        <v>0</v>
      </c>
      <c r="AP19" s="3929" t="n">
        <v>0</v>
      </c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n">
        <v>2300</v>
      </c>
      <c r="D20" s="3959" t="inlineStr">
        <is>
          <t>+</t>
        </is>
      </c>
      <c r="E20" s="3959" t="inlineStr">
        <is>
          <t>TB/Map</t>
        </is>
      </c>
      <c r="F20" s="3959" t="inlineStr"/>
      <c r="G20" s="3929" t="n">
        <v>-102559.26</v>
      </c>
      <c r="H20" s="3929" t="n">
        <v>-98892.64</v>
      </c>
      <c r="I20" s="3929" t="n">
        <v>-104127.85</v>
      </c>
      <c r="J20" s="3929" t="n">
        <v>-106892.15</v>
      </c>
      <c r="K20" s="3929" t="n">
        <v>-102030.16</v>
      </c>
      <c r="L20" s="3929" t="n">
        <v>-115522.68</v>
      </c>
      <c r="M20" s="3929" t="n">
        <v>-110407.76</v>
      </c>
      <c r="N20" s="3929" t="n">
        <v>-106799.38</v>
      </c>
      <c r="O20" s="3929" t="n">
        <v>-113576.84</v>
      </c>
      <c r="P20" s="3929" t="n">
        <v>-122472.29</v>
      </c>
      <c r="Q20" s="3929" t="n">
        <v>-120803.09</v>
      </c>
      <c r="R20" s="3929" t="n">
        <v>-131473.11</v>
      </c>
      <c r="S20" s="3929" t="n">
        <v>-107194.96</v>
      </c>
      <c r="T20" s="3929" t="n">
        <v>-105728.77</v>
      </c>
      <c r="U20" s="3929" t="n">
        <v>-112082.29</v>
      </c>
      <c r="V20" s="3929" t="n">
        <v>-119255.19</v>
      </c>
      <c r="W20" s="3929" t="n">
        <v>-115110.47</v>
      </c>
      <c r="X20" s="3929" t="n">
        <v>-124684.7</v>
      </c>
      <c r="Y20" s="3929" t="n">
        <v>-129053.35</v>
      </c>
      <c r="Z20" s="3929" t="n">
        <v>-129156.13</v>
      </c>
      <c r="AA20" s="3929" t="n">
        <v>-128864.65</v>
      </c>
      <c r="AB20" s="3929" t="n">
        <v>-147657.61</v>
      </c>
      <c r="AC20" s="3929" t="n">
        <v>-148499.02</v>
      </c>
      <c r="AD20" s="3929" t="n">
        <v>-138026.46</v>
      </c>
      <c r="AE20" s="3929" t="n">
        <v>-134980.69</v>
      </c>
      <c r="AF20" s="3929" t="n">
        <v>-133438.28</v>
      </c>
      <c r="AG20" s="3929" t="n">
        <v>-134322.35</v>
      </c>
      <c r="AH20" s="3929" t="n">
        <v>-139990.29</v>
      </c>
      <c r="AI20" s="3929" t="n">
        <v>-139017.46</v>
      </c>
      <c r="AJ20" s="3929" t="n">
        <v>-158293.14</v>
      </c>
      <c r="AK20" s="3929" t="n">
        <v>-146824.69</v>
      </c>
      <c r="AL20" s="3929" t="n">
        <v>-150033.43</v>
      </c>
      <c r="AM20" s="3929" t="n">
        <v>-149586.21</v>
      </c>
      <c r="AN20" s="3929" t="n">
        <v>-177957.74</v>
      </c>
      <c r="AO20" s="3929" t="n">
        <v>-174147.59</v>
      </c>
      <c r="AP20" s="3929" t="n">
        <v>-183572.63</v>
      </c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86">
        <f>IF(COUNT(G17:G20)=0,"",SUM(G17:G20))</f>
        <v/>
      </c>
      <c r="H21" s="3986">
        <f>IF(COUNT(H17:H20)=0,"",SUM(H17:H20))</f>
        <v/>
      </c>
      <c r="I21" s="3986">
        <f>IF(COUNT(I17:I20)=0,"",SUM(I17:I20))</f>
        <v/>
      </c>
      <c r="J21" s="3986">
        <f>IF(COUNT(J17:J20)=0,"",SUM(J17:J20))</f>
        <v/>
      </c>
      <c r="K21" s="3986">
        <f>IF(COUNT(K17:K20)=0,"",SUM(K17:K20))</f>
        <v/>
      </c>
      <c r="L21" s="3986">
        <f>IF(COUNT(L17:L20)=0,"",SUM(L17:L20))</f>
        <v/>
      </c>
      <c r="M21" s="3986">
        <f>IF(COUNT(M17:M20)=0,"",SUM(M17:M20))</f>
        <v/>
      </c>
      <c r="N21" s="3986">
        <f>IF(COUNT(N17:N20)=0,"",SUM(N17:N20))</f>
        <v/>
      </c>
      <c r="O21" s="3986">
        <f>IF(COUNT(O17:O20)=0,"",SUM(O17:O20))</f>
        <v/>
      </c>
      <c r="P21" s="3986">
        <f>IF(COUNT(P17:P20)=0,"",SUM(P17:P20))</f>
        <v/>
      </c>
      <c r="Q21" s="3986">
        <f>IF(COUNT(Q17:Q20)=0,"",SUM(Q17:Q20))</f>
        <v/>
      </c>
      <c r="R21" s="3986">
        <f>IF(COUNT(R17:R20)=0,"",SUM(R17:R20))</f>
        <v/>
      </c>
      <c r="S21" s="3986">
        <f>IF(COUNT(S17:S20)=0,"",SUM(S17:S20))</f>
        <v/>
      </c>
      <c r="T21" s="3986">
        <f>IF(COUNT(T17:T20)=0,"",SUM(T17:T20))</f>
        <v/>
      </c>
      <c r="U21" s="3986">
        <f>IF(COUNT(U17:U20)=0,"",SUM(U17:U20))</f>
        <v/>
      </c>
      <c r="V21" s="3986">
        <f>IF(COUNT(V17:V20)=0,"",SUM(V17:V20))</f>
        <v/>
      </c>
      <c r="W21" s="3986">
        <f>IF(COUNT(W17:W20)=0,"",SUM(W17:W20))</f>
        <v/>
      </c>
      <c r="X21" s="3986">
        <f>IF(COUNT(X17:X20)=0,"",SUM(X17:X20))</f>
        <v/>
      </c>
      <c r="Y21" s="3986">
        <f>IF(COUNT(Y17:Y20)=0,"",SUM(Y17:Y20))</f>
        <v/>
      </c>
      <c r="Z21" s="3986">
        <f>IF(COUNT(Z17:Z20)=0,"",SUM(Z17:Z20))</f>
        <v/>
      </c>
      <c r="AA21" s="3986">
        <f>IF(COUNT(AA17:AA20)=0,"",SUM(AA17:AA20))</f>
        <v/>
      </c>
      <c r="AB21" s="3986">
        <f>IF(COUNT(AB17:AB20)=0,"",SUM(AB17:AB20))</f>
        <v/>
      </c>
      <c r="AC21" s="3986">
        <f>IF(COUNT(AC17:AC20)=0,"",SUM(AC17:AC20))</f>
        <v/>
      </c>
      <c r="AD21" s="3986">
        <f>IF(COUNT(AD17:AD20)=0,"",SUM(AD17:AD20))</f>
        <v/>
      </c>
      <c r="AE21" s="3986">
        <f>IF(COUNT(AE17:AE20)=0,"",SUM(AE17:AE20))</f>
        <v/>
      </c>
      <c r="AF21" s="3986">
        <f>IF(COUNT(AF17:AF20)=0,"",SUM(AF17:AF20))</f>
        <v/>
      </c>
      <c r="AG21" s="3986">
        <f>IF(COUNT(AG17:AG20)=0,"",SUM(AG17:AG20))</f>
        <v/>
      </c>
      <c r="AH21" s="3986">
        <f>IF(COUNT(AH17:AH20)=0,"",SUM(AH17:AH20))</f>
        <v/>
      </c>
      <c r="AI21" s="3986">
        <f>IF(COUNT(AI17:AI20)=0,"",SUM(AI17:AI20))</f>
        <v/>
      </c>
      <c r="AJ21" s="3986">
        <f>IF(COUNT(AJ17:AJ20)=0,"",SUM(AJ17:AJ20))</f>
        <v/>
      </c>
      <c r="AK21" s="3986">
        <f>IF(COUNT(AK17:AK20)=0,"",SUM(AK17:AK20))</f>
        <v/>
      </c>
      <c r="AL21" s="3986">
        <f>IF(COUNT(AL17:AL20)=0,"",SUM(AL17:AL20))</f>
        <v/>
      </c>
      <c r="AM21" s="3986">
        <f>IF(COUNT(AM17:AM20)=0,"",SUM(AM17:AM20))</f>
        <v/>
      </c>
      <c r="AN21" s="3986">
        <f>IF(COUNT(AN17:AN20)=0,"",SUM(AN17:AN20))</f>
        <v/>
      </c>
      <c r="AO21" s="3986">
        <f>IF(COUNT(AO17:AO20)=0,"",SUM(AO17:AO20))</f>
        <v/>
      </c>
      <c r="AP21" s="3986">
        <f>IF(COUNT(AP17:AP20)=0,"",SUM(AP17:AP20))</f>
        <v/>
      </c>
      <c r="AQ21" s="3987">
        <f>R21</f>
        <v/>
      </c>
      <c r="AR21" s="3987">
        <f>AD21</f>
        <v/>
      </c>
      <c r="AS21" s="3987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n">
        <v>3000</v>
      </c>
      <c r="D22" s="3959" t="inlineStr">
        <is>
          <t>+</t>
        </is>
      </c>
      <c r="E22" s="3959" t="inlineStr">
        <is>
          <t>TB/Map</t>
        </is>
      </c>
      <c r="F22" s="3959" t="inlineStr"/>
      <c r="G22" s="3929" t="n">
        <v>-1577741.73</v>
      </c>
      <c r="H22" s="3929" t="n">
        <v>-1959467.32</v>
      </c>
      <c r="I22" s="3929" t="n">
        <v>-2361400.81</v>
      </c>
      <c r="J22" s="3929" t="n">
        <v>-2774004.49</v>
      </c>
      <c r="K22" s="3929" t="n">
        <v>-3167840.92</v>
      </c>
      <c r="L22" s="3929" t="n">
        <v>-3613758.45</v>
      </c>
      <c r="M22" s="3929" t="n">
        <v>-4039932.39</v>
      </c>
      <c r="N22" s="3929" t="n">
        <v>-4452178.02</v>
      </c>
      <c r="O22" s="3929" t="n">
        <v>-4890584.62</v>
      </c>
      <c r="P22" s="3929" t="n">
        <v>-5363327.64</v>
      </c>
      <c r="Q22" s="3929" t="n">
        <v>-5829627.57</v>
      </c>
      <c r="R22" s="3929" t="n">
        <v>-6337113.78</v>
      </c>
      <c r="S22" s="3929" t="n">
        <v>-6750886.34</v>
      </c>
      <c r="T22" s="3929" t="n">
        <v>-7158999.38</v>
      </c>
      <c r="U22" s="3929" t="n">
        <v>-7591637.04</v>
      </c>
      <c r="V22" s="3929" t="n">
        <v>-8051962.09</v>
      </c>
      <c r="W22" s="3929" t="n">
        <v>-8496288.51</v>
      </c>
      <c r="X22" s="3929" t="n">
        <v>-8977571.439999999</v>
      </c>
      <c r="Y22" s="3929" t="n">
        <v>-9475717.359999999</v>
      </c>
      <c r="Z22" s="3929" t="n">
        <v>-9974260.01</v>
      </c>
      <c r="AA22" s="3929" t="n">
        <v>-10471677.57</v>
      </c>
      <c r="AB22" s="3929" t="n">
        <v>-11041635.94</v>
      </c>
      <c r="AC22" s="3929" t="n">
        <v>-11614842.18</v>
      </c>
      <c r="AD22" s="3929" t="n">
        <v>-12147624.33</v>
      </c>
      <c r="AE22" s="3929" t="n">
        <v>-12668649.8</v>
      </c>
      <c r="AF22" s="3929" t="n">
        <v>-13183721.58</v>
      </c>
      <c r="AG22" s="3929" t="n">
        <v>-13702205.85</v>
      </c>
      <c r="AH22" s="3929" t="n">
        <v>-14242568.36</v>
      </c>
      <c r="AI22" s="3929" t="n">
        <v>-14779175.76</v>
      </c>
      <c r="AJ22" s="3929" t="n">
        <v>-15390187.27</v>
      </c>
      <c r="AK22" s="3929" t="n">
        <v>-15956930.57</v>
      </c>
      <c r="AL22" s="3929" t="n">
        <v>-16536059.63</v>
      </c>
      <c r="AM22" s="3929" t="n">
        <v>-17113462.41</v>
      </c>
      <c r="AN22" s="3929" t="n">
        <v>-17800379.29</v>
      </c>
      <c r="AO22" s="3929" t="n">
        <v>-18472589</v>
      </c>
      <c r="AP22" s="3929" t="n">
        <v>-19181179.37</v>
      </c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86">
        <f>IF(COUNT(G21:G22)=0,"",SUM(G21:G22))</f>
        <v/>
      </c>
      <c r="H23" s="3986">
        <f>IF(COUNT(H21:H22)=0,"",SUM(H21:H22))</f>
        <v/>
      </c>
      <c r="I23" s="3986">
        <f>IF(COUNT(I21:I22)=0,"",SUM(I21:I22))</f>
        <v/>
      </c>
      <c r="J23" s="3986">
        <f>IF(COUNT(J21:J22)=0,"",SUM(J21:J22))</f>
        <v/>
      </c>
      <c r="K23" s="3986">
        <f>IF(COUNT(K21:K22)=0,"",SUM(K21:K22))</f>
        <v/>
      </c>
      <c r="L23" s="3986">
        <f>IF(COUNT(L21:L22)=0,"",SUM(L21:L22))</f>
        <v/>
      </c>
      <c r="M23" s="3986">
        <f>IF(COUNT(M21:M22)=0,"",SUM(M21:M22))</f>
        <v/>
      </c>
      <c r="N23" s="3986">
        <f>IF(COUNT(N21:N22)=0,"",SUM(N21:N22))</f>
        <v/>
      </c>
      <c r="O23" s="3986">
        <f>IF(COUNT(O21:O22)=0,"",SUM(O21:O22))</f>
        <v/>
      </c>
      <c r="P23" s="3986">
        <f>IF(COUNT(P21:P22)=0,"",SUM(P21:P22))</f>
        <v/>
      </c>
      <c r="Q23" s="3986">
        <f>IF(COUNT(Q21:Q22)=0,"",SUM(Q21:Q22))</f>
        <v/>
      </c>
      <c r="R23" s="3986">
        <f>IF(COUNT(R21:R22)=0,"",SUM(R21:R22))</f>
        <v/>
      </c>
      <c r="S23" s="3986">
        <f>IF(COUNT(S21:S22)=0,"",SUM(S21:S22))</f>
        <v/>
      </c>
      <c r="T23" s="3986">
        <f>IF(COUNT(T21:T22)=0,"",SUM(T21:T22))</f>
        <v/>
      </c>
      <c r="U23" s="3986">
        <f>IF(COUNT(U21:U22)=0,"",SUM(U21:U22))</f>
        <v/>
      </c>
      <c r="V23" s="3986">
        <f>IF(COUNT(V21:V22)=0,"",SUM(V21:V22))</f>
        <v/>
      </c>
      <c r="W23" s="3986">
        <f>IF(COUNT(W21:W22)=0,"",SUM(W21:W22))</f>
        <v/>
      </c>
      <c r="X23" s="3986">
        <f>IF(COUNT(X21:X22)=0,"",SUM(X21:X22))</f>
        <v/>
      </c>
      <c r="Y23" s="3986">
        <f>IF(COUNT(Y21:Y22)=0,"",SUM(Y21:Y22))</f>
        <v/>
      </c>
      <c r="Z23" s="3986">
        <f>IF(COUNT(Z21:Z22)=0,"",SUM(Z21:Z22))</f>
        <v/>
      </c>
      <c r="AA23" s="3986">
        <f>IF(COUNT(AA21:AA22)=0,"",SUM(AA21:AA22))</f>
        <v/>
      </c>
      <c r="AB23" s="3986">
        <f>IF(COUNT(AB21:AB22)=0,"",SUM(AB21:AB22))</f>
        <v/>
      </c>
      <c r="AC23" s="3986">
        <f>IF(COUNT(AC21:AC22)=0,"",SUM(AC21:AC22))</f>
        <v/>
      </c>
      <c r="AD23" s="3986">
        <f>IF(COUNT(AD21:AD22)=0,"",SUM(AD21:AD22))</f>
        <v/>
      </c>
      <c r="AE23" s="3986">
        <f>IF(COUNT(AE21:AE22)=0,"",SUM(AE21:AE22))</f>
        <v/>
      </c>
      <c r="AF23" s="3986">
        <f>IF(COUNT(AF21:AF22)=0,"",SUM(AF21:AF22))</f>
        <v/>
      </c>
      <c r="AG23" s="3986">
        <f>IF(COUNT(AG21:AG22)=0,"",SUM(AG21:AG22))</f>
        <v/>
      </c>
      <c r="AH23" s="3986">
        <f>IF(COUNT(AH21:AH22)=0,"",SUM(AH21:AH22))</f>
        <v/>
      </c>
      <c r="AI23" s="3986">
        <f>IF(COUNT(AI21:AI22)=0,"",SUM(AI21:AI22))</f>
        <v/>
      </c>
      <c r="AJ23" s="3986">
        <f>IF(COUNT(AJ21:AJ22)=0,"",SUM(AJ21:AJ22))</f>
        <v/>
      </c>
      <c r="AK23" s="3986">
        <f>IF(COUNT(AK21:AK22)=0,"",SUM(AK21:AK22))</f>
        <v/>
      </c>
      <c r="AL23" s="3986">
        <f>IF(COUNT(AL21:AL22)=0,"",SUM(AL21:AL22))</f>
        <v/>
      </c>
      <c r="AM23" s="3986">
        <f>IF(COUNT(AM21:AM22)=0,"",SUM(AM21:AM22))</f>
        <v/>
      </c>
      <c r="AN23" s="3986">
        <f>IF(COUNT(AN21:AN22)=0,"",SUM(AN21:AN22))</f>
        <v/>
      </c>
      <c r="AO23" s="3986">
        <f>IF(COUNT(AO21:AO22)=0,"",SUM(AO21:AO22))</f>
        <v/>
      </c>
      <c r="AP23" s="3986">
        <f>IF(COUNT(AP21:AP22)=0,"",SUM(AP21:AP22))</f>
        <v/>
      </c>
      <c r="AQ23" s="3987">
        <f>R23</f>
        <v/>
      </c>
      <c r="AR23" s="3987">
        <f>AD23</f>
        <v/>
      </c>
      <c r="AS23" s="3987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2026-02-19T20:53:41Z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