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Combined | IS" sheetId="1" state="visible" r:id="rId1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  <definedName name="_xlnm.Print_Area" localSheetId="0">'Combined | IS'!$A$1:$AS$32</definedName>
  </definedNames>
  <calcPr calcId="191028" fullCalcOnLoad="1"/>
</workbook>
</file>

<file path=xl/styles.xml><?xml version="1.0" encoding="utf-8"?>
<styleSheet xmlns="http://schemas.openxmlformats.org/spreadsheetml/2006/main">
  <numFmts count="41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dd-mmm-yy"/>
    <numFmt numFmtId="204" formatCode="_-* #,##0.00_-;\-* #,##0.00_-;_-* &quot;-&quot;??_-;_-@_-"/>
  </numFmts>
  <fonts count="221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666666"/>
      <sz val="8"/>
    </font>
    <font>
      <name val="Arial"/>
      <b val="1"/>
      <color theme="1"/>
      <sz val="10"/>
    </font>
    <font>
      <name val="Arial"/>
      <b val="1"/>
      <color rgb="FF008000"/>
      <sz val="10"/>
    </font>
    <font>
      <name val="Arial"/>
      <b val="1"/>
      <color rgb="FF1E49E2"/>
      <sz val="10"/>
    </font>
  </fonts>
  <fills count="38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5E5E5"/>
        <bgColor rgb="FFE5E5E5"/>
      </patternFill>
    </fill>
  </fills>
  <borders count="137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</border>
    <border>
      <left/>
      <right/>
      <bottom style="medium">
        <color rgb="FFD9D9D9"/>
      </bottom>
    </border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4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99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  <xf numFmtId="0" fontId="217" fillId="0" borderId="0" applyAlignment="1" pivotButton="0" quotePrefix="0" xfId="0">
      <alignment horizontal="left" vertical="center"/>
    </xf>
    <xf numFmtId="0" fontId="209" fillId="30" borderId="134" applyAlignment="1" pivotButton="0" quotePrefix="0" xfId="0">
      <alignment horizontal="left" vertical="center"/>
    </xf>
    <xf numFmtId="0" fontId="212" fillId="30" borderId="134" applyAlignment="1" pivotButton="0" quotePrefix="0" xfId="0">
      <alignment horizontal="left" vertical="center"/>
    </xf>
    <xf numFmtId="202" fontId="212" fillId="30" borderId="134" applyAlignment="1" pivotButton="0" quotePrefix="0" xfId="0">
      <alignment horizontal="left" vertical="center"/>
    </xf>
    <xf numFmtId="202" fontId="215" fillId="35" borderId="125" applyAlignment="1" pivotButton="0" quotePrefix="0" xfId="0">
      <alignment horizontal="left" vertical="center"/>
    </xf>
    <xf numFmtId="0" fontId="2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96" fillId="0" borderId="0" pivotButton="0" quotePrefix="0" xfId="0"/>
    <xf numFmtId="202" fontId="218" fillId="37" borderId="135" applyAlignment="1" pivotButton="0" quotePrefix="0" xfId="0">
      <alignment horizontal="left" vertical="center"/>
    </xf>
    <xf numFmtId="202" fontId="219" fillId="37" borderId="135" applyAlignment="1" pivotButton="0" quotePrefix="0" xfId="0">
      <alignment horizontal="left" vertical="center"/>
    </xf>
    <xf numFmtId="203" fontId="209" fillId="31" borderId="125" applyAlignment="1" pivotButton="0" quotePrefix="0" xfId="0">
      <alignment horizontal="left" vertical="center"/>
    </xf>
    <xf numFmtId="202" fontId="220" fillId="37" borderId="135" applyAlignment="1" pivotButton="0" quotePrefix="0" xfId="0">
      <alignment horizontal="left" vertical="center"/>
    </xf>
    <xf numFmtId="0" fontId="203" fillId="37" borderId="136" applyAlignment="1" pivotButton="0" quotePrefix="0" xfId="0">
      <alignment horizontal="left" vertical="center"/>
    </xf>
    <xf numFmtId="10" fontId="218" fillId="37" borderId="135" applyAlignment="1" pivotButton="0" quotePrefix="0" xfId="0">
      <alignment horizontal="left" vertical="center"/>
    </xf>
    <xf numFmtId="17" fontId="212" fillId="31" borderId="125" applyAlignment="1" pivotButton="0" quotePrefix="0" xfId="0">
      <alignment horizontal="left" vertical="center"/>
    </xf>
    <xf numFmtId="10" fontId="208" fillId="0" borderId="125" applyAlignment="1" pivotButton="0" quotePrefix="0" xfId="0">
      <alignment horizontal="left" vertical="center"/>
    </xf>
    <xf numFmtId="203" fontId="212" fillId="31" borderId="125" applyAlignment="1" pivotButton="0" quotePrefix="0" xfId="0">
      <alignment horizontal="left" vertical="center"/>
    </xf>
    <xf numFmtId="0" fontId="218" fillId="37" borderId="135" applyAlignment="1" pivotButton="0" quotePrefix="0" xfId="0">
      <alignment horizontal="left" vertical="center"/>
    </xf>
    <xf numFmtId="10" fontId="213" fillId="32" borderId="125" applyAlignment="1" pivotButton="0" quotePrefix="0" xfId="0">
      <alignment horizontal="left" vertical="center"/>
    </xf>
    <xf numFmtId="203" fontId="209" fillId="31" borderId="125" applyAlignment="1" pivotButton="0" quotePrefix="0" xfId="0">
      <alignment horizontal="left" vertical="center"/>
    </xf>
    <xf numFmtId="203" fontId="212" fillId="31" borderId="125" applyAlignment="1" pivotButton="0" quotePrefix="0" xfId="0">
      <alignment horizontal="left" vertical="center"/>
    </xf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9"/>
  <sheetViews>
    <sheetView showGridLines="0" zoomScale="100" zoomScaleNormal="100" workbookViewId="0">
      <pane xSplit="6" ySplit="8" topLeftCell="G9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30" customWidth="1" min="46" max="46"/>
    <col width="30" customWidth="1" min="47" max="47"/>
  </cols>
  <sheetData>
    <row r="1">
      <c r="A1" s="3921" t="inlineStr">
        <is>
          <t>Combined IS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trial_balance.xlsx (Process-TB)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56" t="n"/>
      <c r="B4" s="3956" t="n"/>
      <c r="C4" s="3934" t="n"/>
      <c r="D4" s="3957" t="n"/>
      <c r="E4" s="3958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56" t="n"/>
      <c r="B5" s="3956" t="n"/>
      <c r="C5" s="3934" t="n"/>
      <c r="D5" s="3956" t="n"/>
      <c r="E5" s="3956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Combined IS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24">
        <f>'Control | Setup'!A22</f>
        <v/>
      </c>
      <c r="H8" s="3924">
        <f>'Control | Setup'!A23</f>
        <v/>
      </c>
      <c r="I8" s="3924">
        <f>'Control | Setup'!A24</f>
        <v/>
      </c>
      <c r="J8" s="3924">
        <f>'Control | Setup'!A25</f>
        <v/>
      </c>
      <c r="K8" s="3924">
        <f>'Control | Setup'!A26</f>
        <v/>
      </c>
      <c r="L8" s="3924">
        <f>'Control | Setup'!A27</f>
        <v/>
      </c>
      <c r="M8" s="3924">
        <f>'Control | Setup'!A28</f>
        <v/>
      </c>
      <c r="N8" s="3924">
        <f>'Control | Setup'!A29</f>
        <v/>
      </c>
      <c r="O8" s="3924">
        <f>'Control | Setup'!A30</f>
        <v/>
      </c>
      <c r="P8" s="3924">
        <f>'Control | Setup'!A31</f>
        <v/>
      </c>
      <c r="Q8" s="3924">
        <f>'Control | Setup'!A32</f>
        <v/>
      </c>
      <c r="R8" s="3924">
        <f>'Control | Setup'!A33</f>
        <v/>
      </c>
      <c r="S8" s="3924">
        <f>'Control | Setup'!A34</f>
        <v/>
      </c>
      <c r="T8" s="3924">
        <f>'Control | Setup'!A35</f>
        <v/>
      </c>
      <c r="U8" s="3924">
        <f>'Control | Setup'!A36</f>
        <v/>
      </c>
      <c r="V8" s="3924">
        <f>'Control | Setup'!A37</f>
        <v/>
      </c>
      <c r="W8" s="3924">
        <f>'Control | Setup'!A38</f>
        <v/>
      </c>
      <c r="X8" s="3924">
        <f>'Control | Setup'!A39</f>
        <v/>
      </c>
      <c r="Y8" s="3924">
        <f>'Control | Setup'!A40</f>
        <v/>
      </c>
      <c r="Z8" s="3924">
        <f>'Control | Setup'!A41</f>
        <v/>
      </c>
      <c r="AA8" s="3924">
        <f>'Control | Setup'!A42</f>
        <v/>
      </c>
      <c r="AB8" s="3924">
        <f>'Control | Setup'!A43</f>
        <v/>
      </c>
      <c r="AC8" s="3924">
        <f>'Control | Setup'!A44</f>
        <v/>
      </c>
      <c r="AD8" s="3924">
        <f>'Control | Setup'!A45</f>
        <v/>
      </c>
      <c r="AE8" s="3924">
        <f>'Control | Setup'!A46</f>
        <v/>
      </c>
      <c r="AF8" s="3924">
        <f>'Control | Setup'!A47</f>
        <v/>
      </c>
      <c r="AG8" s="3924">
        <f>'Control | Setup'!A48</f>
        <v/>
      </c>
      <c r="AH8" s="3924">
        <f>'Control | Setup'!A49</f>
        <v/>
      </c>
      <c r="AI8" s="3924">
        <f>'Control | Setup'!A50</f>
        <v/>
      </c>
      <c r="AJ8" s="3924">
        <f>'Control | Setup'!A51</f>
        <v/>
      </c>
      <c r="AK8" s="3924">
        <f>'Control | Setup'!A52</f>
        <v/>
      </c>
      <c r="AL8" s="3924">
        <f>'Control | Setup'!A53</f>
        <v/>
      </c>
      <c r="AM8" s="3924">
        <f>'Control | Setup'!A54</f>
        <v/>
      </c>
      <c r="AN8" s="3924">
        <f>'Control | Setup'!A55</f>
        <v/>
      </c>
      <c r="AO8" s="3924">
        <f>'Control | Setup'!A56</f>
        <v/>
      </c>
      <c r="AP8" s="3924">
        <f>'Control | Setup'!A57</f>
        <v/>
      </c>
      <c r="AQ8" s="3947" t="inlineStr">
        <is>
          <t>FY-2</t>
        </is>
      </c>
      <c r="AR8" s="3947" t="inlineStr">
        <is>
          <t>FY-1</t>
        </is>
      </c>
      <c r="AS8" s="3947" t="inlineStr">
        <is>
          <t>TTM</t>
        </is>
      </c>
    </row>
    <row r="9">
      <c r="A9" s="3959" t="inlineStr">
        <is>
          <t>IS_REV</t>
        </is>
      </c>
      <c r="B9" s="3959" t="inlineStr">
        <is>
          <t>Revenue</t>
        </is>
      </c>
      <c r="C9" s="3959" t="n">
        <v>4000</v>
      </c>
      <c r="D9" s="3959" t="inlineStr">
        <is>
          <t>+</t>
        </is>
      </c>
      <c r="E9" s="3959" t="inlineStr">
        <is>
          <t>TB/Map</t>
        </is>
      </c>
      <c r="F9" s="3959" t="inlineStr"/>
      <c r="G9" s="3929" t="n">
        <v>2051185.21</v>
      </c>
      <c r="H9" s="3929" t="n">
        <v>1977852.78</v>
      </c>
      <c r="I9" s="3929" t="n">
        <v>2082556.93</v>
      </c>
      <c r="J9" s="3929" t="n">
        <v>2137842.92</v>
      </c>
      <c r="K9" s="3929" t="n">
        <v>2040603.26</v>
      </c>
      <c r="L9" s="3929" t="n">
        <v>2310453.51</v>
      </c>
      <c r="M9" s="3929" t="n">
        <v>2208155.14</v>
      </c>
      <c r="N9" s="3929" t="n">
        <v>2135987.71</v>
      </c>
      <c r="O9" s="3929" t="n">
        <v>2271536.8</v>
      </c>
      <c r="P9" s="3929" t="n">
        <v>2449445.72</v>
      </c>
      <c r="Q9" s="3929" t="n">
        <v>2416061.78</v>
      </c>
      <c r="R9" s="3929" t="n">
        <v>2629462.24</v>
      </c>
      <c r="S9" s="3929" t="n">
        <v>2143899.28</v>
      </c>
      <c r="T9" s="3929" t="n">
        <v>2114575.32</v>
      </c>
      <c r="U9" s="3929" t="n">
        <v>2241645.9</v>
      </c>
      <c r="V9" s="3929" t="n">
        <v>2385103.86</v>
      </c>
      <c r="W9" s="3929" t="n">
        <v>2302209.47</v>
      </c>
      <c r="X9" s="3929" t="n">
        <v>2493693.9</v>
      </c>
      <c r="Y9" s="3929" t="n">
        <v>2581066.93</v>
      </c>
      <c r="Z9" s="3929" t="n">
        <v>2583122.56</v>
      </c>
      <c r="AA9" s="3929" t="n">
        <v>2577293.07</v>
      </c>
      <c r="AB9" s="3929" t="n">
        <v>2953152.19</v>
      </c>
      <c r="AC9" s="3929" t="n">
        <v>2969980.5</v>
      </c>
      <c r="AD9" s="3929" t="n">
        <v>2760529.29</v>
      </c>
      <c r="AE9" s="3929" t="n">
        <v>2699613.81</v>
      </c>
      <c r="AF9" s="3929" t="n">
        <v>2668765.69</v>
      </c>
      <c r="AG9" s="3929" t="n">
        <v>2686447.01</v>
      </c>
      <c r="AH9" s="3929" t="n">
        <v>2799805.76</v>
      </c>
      <c r="AI9" s="3929" t="n">
        <v>2780349.22</v>
      </c>
      <c r="AJ9" s="3929" t="n">
        <v>3165862.76</v>
      </c>
      <c r="AK9" s="3929" t="n">
        <v>2936493.79</v>
      </c>
      <c r="AL9" s="3929" t="n">
        <v>3000668.68</v>
      </c>
      <c r="AM9" s="3929" t="n">
        <v>2991724.26</v>
      </c>
      <c r="AN9" s="3929" t="n">
        <v>3559154.82</v>
      </c>
      <c r="AO9" s="3929" t="n">
        <v>3482951.89</v>
      </c>
      <c r="AP9" s="3929" t="n">
        <v>3671452.69</v>
      </c>
      <c r="AQ9" s="3949">
        <f>IF(COUNT(G9:R9)=0,"",SUM(G9:R9))</f>
        <v/>
      </c>
      <c r="AR9" s="3949">
        <f>IF(COUNT(S9:AD9)=0,"",SUM(S9:AD9))</f>
        <v/>
      </c>
      <c r="AS9" s="3949">
        <f>IF(COUNT(AE9:AP9)=0,"",SUM(AE9:AP9))</f>
        <v/>
      </c>
    </row>
    <row r="10">
      <c r="A10" s="3959" t="inlineStr">
        <is>
          <t>IS_COGS</t>
        </is>
      </c>
      <c r="B10" s="3959" t="inlineStr">
        <is>
          <t>Cost of goods sold</t>
        </is>
      </c>
      <c r="C10" s="3959" t="n">
        <v>5000</v>
      </c>
      <c r="D10" s="3959" t="inlineStr">
        <is>
          <t>+</t>
        </is>
      </c>
      <c r="E10" s="3959" t="inlineStr">
        <is>
          <t>TB/Map</t>
        </is>
      </c>
      <c r="F10" s="3959" t="inlineStr"/>
      <c r="G10" s="3929" t="n">
        <v>-937391.64</v>
      </c>
      <c r="H10" s="3929" t="n">
        <v>-903878.72</v>
      </c>
      <c r="I10" s="3929" t="n">
        <v>-951728.51</v>
      </c>
      <c r="J10" s="3929" t="n">
        <v>-976994.21</v>
      </c>
      <c r="K10" s="3929" t="n">
        <v>-932555.6899999999</v>
      </c>
      <c r="L10" s="3929" t="n">
        <v>-1055877.25</v>
      </c>
      <c r="M10" s="3929" t="n">
        <v>-1009126.9</v>
      </c>
      <c r="N10" s="3929" t="n">
        <v>-976146.38</v>
      </c>
      <c r="O10" s="3929" t="n">
        <v>-1038092.32</v>
      </c>
      <c r="P10" s="3929" t="n">
        <v>-1119396.71</v>
      </c>
      <c r="Q10" s="3929" t="n">
        <v>-1104140.22</v>
      </c>
      <c r="R10" s="3929" t="n">
        <v>-1201664.25</v>
      </c>
      <c r="S10" s="3929" t="n">
        <v>-979761.97</v>
      </c>
      <c r="T10" s="3929" t="n">
        <v>-966360.9399999999</v>
      </c>
      <c r="U10" s="3929" t="n">
        <v>-1024432.18</v>
      </c>
      <c r="V10" s="3929" t="n">
        <v>-1089992.47</v>
      </c>
      <c r="W10" s="3929" t="n">
        <v>-1052109.73</v>
      </c>
      <c r="X10" s="3929" t="n">
        <v>-1139618.12</v>
      </c>
      <c r="Y10" s="3929" t="n">
        <v>-1179547.58</v>
      </c>
      <c r="Z10" s="3929" t="n">
        <v>-1180487.01</v>
      </c>
      <c r="AA10" s="3929" t="n">
        <v>-1177822.93</v>
      </c>
      <c r="AB10" s="3929" t="n">
        <v>-1349590.55</v>
      </c>
      <c r="AC10" s="3929" t="n">
        <v>-1357281.09</v>
      </c>
      <c r="AD10" s="3929" t="n">
        <v>-1261561.89</v>
      </c>
      <c r="AE10" s="3929" t="n">
        <v>-1233723.51</v>
      </c>
      <c r="AF10" s="3929" t="n">
        <v>-1219625.92</v>
      </c>
      <c r="AG10" s="3929" t="n">
        <v>-1227706.28</v>
      </c>
      <c r="AH10" s="3929" t="n">
        <v>-1279511.24</v>
      </c>
      <c r="AI10" s="3929" t="n">
        <v>-1270619.6</v>
      </c>
      <c r="AJ10" s="3929" t="n">
        <v>-1446799.29</v>
      </c>
      <c r="AK10" s="3929" t="n">
        <v>-1341977.66</v>
      </c>
      <c r="AL10" s="3929" t="n">
        <v>-1371305.58</v>
      </c>
      <c r="AM10" s="3929" t="n">
        <v>-1367217.98</v>
      </c>
      <c r="AN10" s="3929" t="n">
        <v>-1626533.76</v>
      </c>
      <c r="AO10" s="3929" t="n">
        <v>-1591709.02</v>
      </c>
      <c r="AP10" s="3929" t="n">
        <v>-1677853.88</v>
      </c>
      <c r="AQ10" s="3949">
        <f>IF(COUNT(G10:R10)=0,"",SUM(G10:R10))</f>
        <v/>
      </c>
      <c r="AR10" s="3949">
        <f>IF(COUNT(S10:AD10)=0,"",SUM(S10:AD10))</f>
        <v/>
      </c>
      <c r="AS10" s="3949">
        <f>IF(COUNT(AE10:AP10)=0,"",SUM(AE10:AP10))</f>
        <v/>
      </c>
    </row>
    <row r="11">
      <c r="A11" s="3959" t="inlineStr">
        <is>
          <t>IS_GP</t>
        </is>
      </c>
      <c r="B11" s="3959" t="inlineStr">
        <is>
          <t>Gross profit</t>
        </is>
      </c>
      <c r="C11" s="3959" t="inlineStr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86">
        <f>IF(OR(G9="",G10=""),"",G9+G10)</f>
        <v/>
      </c>
      <c r="H11" s="3986">
        <f>IF(OR(H9="",H10=""),"",H9+H10)</f>
        <v/>
      </c>
      <c r="I11" s="3986">
        <f>IF(OR(I9="",I10=""),"",I9+I10)</f>
        <v/>
      </c>
      <c r="J11" s="3986">
        <f>IF(OR(J9="",J10=""),"",J9+J10)</f>
        <v/>
      </c>
      <c r="K11" s="3986">
        <f>IF(OR(K9="",K10=""),"",K9+K10)</f>
        <v/>
      </c>
      <c r="L11" s="3986">
        <f>IF(OR(L9="",L10=""),"",L9+L10)</f>
        <v/>
      </c>
      <c r="M11" s="3986">
        <f>IF(OR(M9="",M10=""),"",M9+M10)</f>
        <v/>
      </c>
      <c r="N11" s="3986">
        <f>IF(OR(N9="",N10=""),"",N9+N10)</f>
        <v/>
      </c>
      <c r="O11" s="3986">
        <f>IF(OR(O9="",O10=""),"",O9+O10)</f>
        <v/>
      </c>
      <c r="P11" s="3986">
        <f>IF(OR(P9="",P10=""),"",P9+P10)</f>
        <v/>
      </c>
      <c r="Q11" s="3986">
        <f>IF(OR(Q9="",Q10=""),"",Q9+Q10)</f>
        <v/>
      </c>
      <c r="R11" s="3986">
        <f>IF(OR(R9="",R10=""),"",R9+R10)</f>
        <v/>
      </c>
      <c r="S11" s="3986">
        <f>IF(OR(S9="",S10=""),"",S9+S10)</f>
        <v/>
      </c>
      <c r="T11" s="3986">
        <f>IF(OR(T9="",T10=""),"",T9+T10)</f>
        <v/>
      </c>
      <c r="U11" s="3986">
        <f>IF(OR(U9="",U10=""),"",U9+U10)</f>
        <v/>
      </c>
      <c r="V11" s="3986">
        <f>IF(OR(V9="",V10=""),"",V9+V10)</f>
        <v/>
      </c>
      <c r="W11" s="3986">
        <f>IF(OR(W9="",W10=""),"",W9+W10)</f>
        <v/>
      </c>
      <c r="X11" s="3986">
        <f>IF(OR(X9="",X10=""),"",X9+X10)</f>
        <v/>
      </c>
      <c r="Y11" s="3986">
        <f>IF(OR(Y9="",Y10=""),"",Y9+Y10)</f>
        <v/>
      </c>
      <c r="Z11" s="3986">
        <f>IF(OR(Z9="",Z10=""),"",Z9+Z10)</f>
        <v/>
      </c>
      <c r="AA11" s="3986">
        <f>IF(OR(AA9="",AA10=""),"",AA9+AA10)</f>
        <v/>
      </c>
      <c r="AB11" s="3986">
        <f>IF(OR(AB9="",AB10=""),"",AB9+AB10)</f>
        <v/>
      </c>
      <c r="AC11" s="3986">
        <f>IF(OR(AC9="",AC10=""),"",AC9+AC10)</f>
        <v/>
      </c>
      <c r="AD11" s="3986">
        <f>IF(OR(AD9="",AD10=""),"",AD9+AD10)</f>
        <v/>
      </c>
      <c r="AE11" s="3986">
        <f>IF(OR(AE9="",AE10=""),"",AE9+AE10)</f>
        <v/>
      </c>
      <c r="AF11" s="3986">
        <f>IF(OR(AF9="",AF10=""),"",AF9+AF10)</f>
        <v/>
      </c>
      <c r="AG11" s="3986">
        <f>IF(OR(AG9="",AG10=""),"",AG9+AG10)</f>
        <v/>
      </c>
      <c r="AH11" s="3986">
        <f>IF(OR(AH9="",AH10=""),"",AH9+AH10)</f>
        <v/>
      </c>
      <c r="AI11" s="3986">
        <f>IF(OR(AI9="",AI10=""),"",AI9+AI10)</f>
        <v/>
      </c>
      <c r="AJ11" s="3986">
        <f>IF(OR(AJ9="",AJ10=""),"",AJ9+AJ10)</f>
        <v/>
      </c>
      <c r="AK11" s="3986">
        <f>IF(OR(AK9="",AK10=""),"",AK9+AK10)</f>
        <v/>
      </c>
      <c r="AL11" s="3986">
        <f>IF(OR(AL9="",AL10=""),"",AL9+AL10)</f>
        <v/>
      </c>
      <c r="AM11" s="3986">
        <f>IF(OR(AM9="",AM10=""),"",AM9+AM10)</f>
        <v/>
      </c>
      <c r="AN11" s="3986">
        <f>IF(OR(AN9="",AN10=""),"",AN9+AN10)</f>
        <v/>
      </c>
      <c r="AO11" s="3986">
        <f>IF(OR(AO9="",AO10=""),"",AO9+AO10)</f>
        <v/>
      </c>
      <c r="AP11" s="3986">
        <f>IF(OR(AP9="",AP10=""),"",AP9+AP10)</f>
        <v/>
      </c>
      <c r="AQ11" s="3987">
        <f>IF(COUNT(G11:R11)=0,"",SUM(G11:R11))</f>
        <v/>
      </c>
      <c r="AR11" s="3987">
        <f>IF(COUNT(S11:AD11)=0,"",SUM(S11:AD11))</f>
        <v/>
      </c>
      <c r="AS11" s="3987">
        <f>IF(COUNT(AE11:AP11)=0,"",SUM(AE11:AP11))</f>
        <v/>
      </c>
    </row>
    <row r="12">
      <c r="A12" s="3959" t="inlineStr">
        <is>
          <t>IS_OPEX</t>
        </is>
      </c>
      <c r="B12" s="3959" t="inlineStr">
        <is>
          <t>Operating expenses</t>
        </is>
      </c>
      <c r="C12" s="3959" t="n">
        <v>6100</v>
      </c>
      <c r="D12" s="3959" t="inlineStr">
        <is>
          <t>+</t>
        </is>
      </c>
      <c r="E12" s="3959" t="inlineStr">
        <is>
          <t>TB/Map</t>
        </is>
      </c>
      <c r="F12" s="3959" t="inlineStr"/>
      <c r="G12" s="3929" t="n">
        <v>-717914.83</v>
      </c>
      <c r="H12" s="3929" t="n">
        <v>-692248.46</v>
      </c>
      <c r="I12" s="3929" t="n">
        <v>-728894.9300000001</v>
      </c>
      <c r="J12" s="3929" t="n">
        <v>-748245.02</v>
      </c>
      <c r="K12" s="3929" t="n">
        <v>-714211.14</v>
      </c>
      <c r="L12" s="3929" t="n">
        <v>-808658.74</v>
      </c>
      <c r="M12" s="3929" t="n">
        <v>-772854.3</v>
      </c>
      <c r="N12" s="3929" t="n">
        <v>-747595.7</v>
      </c>
      <c r="O12" s="3929" t="n">
        <v>-795037.87</v>
      </c>
      <c r="P12" s="3929" t="n">
        <v>-857306.01</v>
      </c>
      <c r="Q12" s="3929" t="n">
        <v>-845621.62</v>
      </c>
      <c r="R12" s="3929" t="n">
        <v>-920311.79</v>
      </c>
      <c r="S12" s="3929" t="n">
        <v>-750364.75</v>
      </c>
      <c r="T12" s="3929" t="n">
        <v>-740101.37</v>
      </c>
      <c r="U12" s="3929" t="n">
        <v>-784576.0699999999</v>
      </c>
      <c r="V12" s="3929" t="n">
        <v>-834786.36</v>
      </c>
      <c r="W12" s="3929" t="n">
        <v>-805773.3100000001</v>
      </c>
      <c r="X12" s="3929" t="n">
        <v>-872792.87</v>
      </c>
      <c r="Y12" s="3929" t="n">
        <v>-903373.42</v>
      </c>
      <c r="Z12" s="3929" t="n">
        <v>-904092.89</v>
      </c>
      <c r="AA12" s="3929" t="n">
        <v>-902052.58</v>
      </c>
      <c r="AB12" s="3929" t="n">
        <v>-1033603.28</v>
      </c>
      <c r="AC12" s="3929" t="n">
        <v>-1039493.16</v>
      </c>
      <c r="AD12" s="3929" t="n">
        <v>-966185.25</v>
      </c>
      <c r="AE12" s="3929" t="n">
        <v>-944864.8199999999</v>
      </c>
      <c r="AF12" s="3929" t="n">
        <v>-934067.99</v>
      </c>
      <c r="AG12" s="3929" t="n">
        <v>-940256.45</v>
      </c>
      <c r="AH12" s="3929" t="n">
        <v>-979932.01</v>
      </c>
      <c r="AI12" s="3929" t="n">
        <v>-973122.23</v>
      </c>
      <c r="AJ12" s="3929" t="n">
        <v>-1108051.96</v>
      </c>
      <c r="AK12" s="3929" t="n">
        <v>-1027772.82</v>
      </c>
      <c r="AL12" s="3929" t="n">
        <v>-1050234.03</v>
      </c>
      <c r="AM12" s="3929" t="n">
        <v>-1047103.49</v>
      </c>
      <c r="AN12" s="3929" t="n">
        <v>-1245704.18</v>
      </c>
      <c r="AO12" s="3929" t="n">
        <v>-1219033.17</v>
      </c>
      <c r="AP12" s="3929" t="n">
        <v>-1285008.44</v>
      </c>
      <c r="AQ12" s="3949">
        <f>IF(COUNT(G12:R12)=0,"",SUM(G12:R12))</f>
        <v/>
      </c>
      <c r="AR12" s="3949">
        <f>IF(COUNT(S12:AD12)=0,"",SUM(S12:AD12))</f>
        <v/>
      </c>
      <c r="AS12" s="3949">
        <f>IF(COUNT(AE12:AP12)=0,"",SUM(AE12:AP12))</f>
        <v/>
      </c>
    </row>
    <row r="13">
      <c r="A13" s="3959" t="inlineStr">
        <is>
          <t>IS_OPINC</t>
        </is>
      </c>
      <c r="B13" s="3959" t="inlineStr">
        <is>
          <t>Operating income</t>
        </is>
      </c>
      <c r="C13" s="3959" t="inlineStr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60">
        <f>IF(OR(G11="",G12=""),"",G11+G12)</f>
        <v/>
      </c>
      <c r="H13" s="3960">
        <f>IF(OR(H11="",H12=""),"",H11+H12)</f>
        <v/>
      </c>
      <c r="I13" s="3960">
        <f>IF(OR(I11="",I12=""),"",I11+I12)</f>
        <v/>
      </c>
      <c r="J13" s="3960">
        <f>IF(OR(J11="",J12=""),"",J11+J12)</f>
        <v/>
      </c>
      <c r="K13" s="3960">
        <f>IF(OR(K11="",K12=""),"",K11+K12)</f>
        <v/>
      </c>
      <c r="L13" s="3960">
        <f>IF(OR(L11="",L12=""),"",L11+L12)</f>
        <v/>
      </c>
      <c r="M13" s="3960">
        <f>IF(OR(M11="",M12=""),"",M11+M12)</f>
        <v/>
      </c>
      <c r="N13" s="3960">
        <f>IF(OR(N11="",N12=""),"",N11+N12)</f>
        <v/>
      </c>
      <c r="O13" s="3960">
        <f>IF(OR(O11="",O12=""),"",O11+O12)</f>
        <v/>
      </c>
      <c r="P13" s="3960">
        <f>IF(OR(P11="",P12=""),"",P11+P12)</f>
        <v/>
      </c>
      <c r="Q13" s="3960">
        <f>IF(OR(Q11="",Q12=""),"",Q11+Q12)</f>
        <v/>
      </c>
      <c r="R13" s="3960">
        <f>IF(OR(R11="",R12=""),"",R11+R12)</f>
        <v/>
      </c>
      <c r="S13" s="3960">
        <f>IF(OR(S11="",S12=""),"",S11+S12)</f>
        <v/>
      </c>
      <c r="T13" s="3960">
        <f>IF(OR(T11="",T12=""),"",T11+T12)</f>
        <v/>
      </c>
      <c r="U13" s="3960">
        <f>IF(OR(U11="",U12=""),"",U11+U12)</f>
        <v/>
      </c>
      <c r="V13" s="3960">
        <f>IF(OR(V11="",V12=""),"",V11+V12)</f>
        <v/>
      </c>
      <c r="W13" s="3960">
        <f>IF(OR(W11="",W12=""),"",W11+W12)</f>
        <v/>
      </c>
      <c r="X13" s="3960">
        <f>IF(OR(X11="",X12=""),"",X11+X12)</f>
        <v/>
      </c>
      <c r="Y13" s="3960">
        <f>IF(OR(Y11="",Y12=""),"",Y11+Y12)</f>
        <v/>
      </c>
      <c r="Z13" s="3960">
        <f>IF(OR(Z11="",Z12=""),"",Z11+Z12)</f>
        <v/>
      </c>
      <c r="AA13" s="3960">
        <f>IF(OR(AA11="",AA12=""),"",AA11+AA12)</f>
        <v/>
      </c>
      <c r="AB13" s="3960">
        <f>IF(OR(AB11="",AB12=""),"",AB11+AB12)</f>
        <v/>
      </c>
      <c r="AC13" s="3960">
        <f>IF(OR(AC11="",AC12=""),"",AC11+AC12)</f>
        <v/>
      </c>
      <c r="AD13" s="3960">
        <f>IF(OR(AD11="",AD12=""),"",AD11+AD12)</f>
        <v/>
      </c>
      <c r="AE13" s="3960">
        <f>IF(OR(AE11="",AE12=""),"",AE11+AE12)</f>
        <v/>
      </c>
      <c r="AF13" s="3960">
        <f>IF(OR(AF11="",AF12=""),"",AF11+AF12)</f>
        <v/>
      </c>
      <c r="AG13" s="3960">
        <f>IF(OR(AG11="",AG12=""),"",AG11+AG12)</f>
        <v/>
      </c>
      <c r="AH13" s="3960">
        <f>IF(OR(AH11="",AH12=""),"",AH11+AH12)</f>
        <v/>
      </c>
      <c r="AI13" s="3960">
        <f>IF(OR(AI11="",AI12=""),"",AI11+AI12)</f>
        <v/>
      </c>
      <c r="AJ13" s="3960">
        <f>IF(OR(AJ11="",AJ12=""),"",AJ11+AJ12)</f>
        <v/>
      </c>
      <c r="AK13" s="3960">
        <f>IF(OR(AK11="",AK12=""),"",AK11+AK12)</f>
        <v/>
      </c>
      <c r="AL13" s="3960">
        <f>IF(OR(AL11="",AL12=""),"",AL11+AL12)</f>
        <v/>
      </c>
      <c r="AM13" s="3960">
        <f>IF(OR(AM11="",AM12=""),"",AM11+AM12)</f>
        <v/>
      </c>
      <c r="AN13" s="3960">
        <f>IF(OR(AN11="",AN12=""),"",AN11+AN12)</f>
        <v/>
      </c>
      <c r="AO13" s="3960">
        <f>IF(OR(AO11="",AO12=""),"",AO11+AO12)</f>
        <v/>
      </c>
      <c r="AP13" s="3960">
        <f>IF(OR(AP11="",AP12=""),"",AP11+AP12)</f>
        <v/>
      </c>
      <c r="AQ13" s="3949">
        <f>IF(COUNT(G13:R13)=0,"",SUM(G13:R13))</f>
        <v/>
      </c>
      <c r="AR13" s="3949">
        <f>IF(COUNT(S13:AD13)=0,"",SUM(S13:AD13))</f>
        <v/>
      </c>
      <c r="AS13" s="3949">
        <f>IF(COUNT(AE13:AP13)=0,"",SUM(AE13:AP13))</f>
        <v/>
      </c>
    </row>
    <row r="14">
      <c r="A14" s="3959" t="inlineStr">
        <is>
          <t>IS_INT</t>
        </is>
      </c>
      <c r="B14" s="3959" t="inlineStr">
        <is>
          <t>Interest expense</t>
        </is>
      </c>
      <c r="C14" s="3959" t="n">
        <v>7100</v>
      </c>
      <c r="D14" s="3959" t="inlineStr">
        <is>
          <t>+</t>
        </is>
      </c>
      <c r="E14" s="3959" t="inlineStr">
        <is>
          <t>TB/Map</t>
        </is>
      </c>
      <c r="F14" s="3959" t="inlineStr"/>
      <c r="G14" s="3929" t="n">
        <v>0</v>
      </c>
      <c r="H14" s="3929" t="n">
        <v>0</v>
      </c>
      <c r="I14" s="3929" t="n">
        <v>0</v>
      </c>
      <c r="J14" s="3929" t="n">
        <v>0</v>
      </c>
      <c r="K14" s="3929" t="n">
        <v>0</v>
      </c>
      <c r="L14" s="3929" t="n">
        <v>0</v>
      </c>
      <c r="M14" s="3929" t="n">
        <v>0</v>
      </c>
      <c r="N14" s="3929" t="n">
        <v>0</v>
      </c>
      <c r="O14" s="3929" t="n">
        <v>0</v>
      </c>
      <c r="P14" s="3929" t="n">
        <v>0</v>
      </c>
      <c r="Q14" s="3929" t="n">
        <v>0</v>
      </c>
      <c r="R14" s="3929" t="n">
        <v>0</v>
      </c>
      <c r="S14" s="3929" t="n">
        <v>0</v>
      </c>
      <c r="T14" s="3929" t="n">
        <v>0</v>
      </c>
      <c r="U14" s="3929" t="n">
        <v>0</v>
      </c>
      <c r="V14" s="3929" t="n">
        <v>0</v>
      </c>
      <c r="W14" s="3929" t="n">
        <v>0</v>
      </c>
      <c r="X14" s="3929" t="n">
        <v>0</v>
      </c>
      <c r="Y14" s="3929" t="n">
        <v>0</v>
      </c>
      <c r="Z14" s="3929" t="n">
        <v>0</v>
      </c>
      <c r="AA14" s="3929" t="n">
        <v>0</v>
      </c>
      <c r="AB14" s="3929" t="n">
        <v>0</v>
      </c>
      <c r="AC14" s="3929" t="n">
        <v>0</v>
      </c>
      <c r="AD14" s="3929" t="n">
        <v>0</v>
      </c>
      <c r="AE14" s="3929" t="n">
        <v>0</v>
      </c>
      <c r="AF14" s="3929" t="n">
        <v>0</v>
      </c>
      <c r="AG14" s="3929" t="n">
        <v>0</v>
      </c>
      <c r="AH14" s="3929" t="n">
        <v>0</v>
      </c>
      <c r="AI14" s="3929" t="n">
        <v>0</v>
      </c>
      <c r="AJ14" s="3929" t="n">
        <v>0</v>
      </c>
      <c r="AK14" s="3929" t="n">
        <v>0</v>
      </c>
      <c r="AL14" s="3929" t="n">
        <v>0</v>
      </c>
      <c r="AM14" s="3929" t="n">
        <v>0</v>
      </c>
      <c r="AN14" s="3929" t="n">
        <v>0</v>
      </c>
      <c r="AO14" s="3929" t="n">
        <v>0</v>
      </c>
      <c r="AP14" s="3929" t="n">
        <v>0</v>
      </c>
      <c r="AQ14" s="3949">
        <f>IF(COUNT(G14:R14)=0,"",SUM(G14:R14))</f>
        <v/>
      </c>
      <c r="AR14" s="3949">
        <f>IF(COUNT(S14:AD14)=0,"",SUM(S14:AD14))</f>
        <v/>
      </c>
      <c r="AS14" s="3949">
        <f>IF(COUNT(AE14:AP14)=0,"",SUM(AE14:AP14))</f>
        <v/>
      </c>
    </row>
    <row r="15">
      <c r="A15" s="3959" t="inlineStr">
        <is>
          <t>IS_TAX</t>
        </is>
      </c>
      <c r="B15" s="3959" t="inlineStr">
        <is>
          <t>Taxes</t>
        </is>
      </c>
      <c r="C15" s="3959" t="n">
        <v>7200</v>
      </c>
      <c r="D15" s="3959" t="inlineStr">
        <is>
          <t>+</t>
        </is>
      </c>
      <c r="E15" s="3959" t="inlineStr">
        <is>
          <t>TB/Map</t>
        </is>
      </c>
      <c r="F15" s="3959" t="inlineStr"/>
      <c r="G15" s="3929" t="n">
        <v>0</v>
      </c>
      <c r="H15" s="3929" t="n">
        <v>0</v>
      </c>
      <c r="I15" s="3929" t="n">
        <v>0</v>
      </c>
      <c r="J15" s="3929" t="n">
        <v>0</v>
      </c>
      <c r="K15" s="3929" t="n">
        <v>0</v>
      </c>
      <c r="L15" s="3929" t="n">
        <v>0</v>
      </c>
      <c r="M15" s="3929" t="n">
        <v>0</v>
      </c>
      <c r="N15" s="3929" t="n">
        <v>0</v>
      </c>
      <c r="O15" s="3929" t="n">
        <v>0</v>
      </c>
      <c r="P15" s="3929" t="n">
        <v>0</v>
      </c>
      <c r="Q15" s="3929" t="n">
        <v>0</v>
      </c>
      <c r="R15" s="3929" t="n">
        <v>0</v>
      </c>
      <c r="S15" s="3929" t="n">
        <v>0</v>
      </c>
      <c r="T15" s="3929" t="n">
        <v>0</v>
      </c>
      <c r="U15" s="3929" t="n">
        <v>0</v>
      </c>
      <c r="V15" s="3929" t="n">
        <v>0</v>
      </c>
      <c r="W15" s="3929" t="n">
        <v>0</v>
      </c>
      <c r="X15" s="3929" t="n">
        <v>0</v>
      </c>
      <c r="Y15" s="3929" t="n">
        <v>0</v>
      </c>
      <c r="Z15" s="3929" t="n">
        <v>0</v>
      </c>
      <c r="AA15" s="3929" t="n">
        <v>0</v>
      </c>
      <c r="AB15" s="3929" t="n">
        <v>0</v>
      </c>
      <c r="AC15" s="3929" t="n">
        <v>0</v>
      </c>
      <c r="AD15" s="3929" t="n">
        <v>0</v>
      </c>
      <c r="AE15" s="3929" t="n">
        <v>0</v>
      </c>
      <c r="AF15" s="3929" t="n">
        <v>0</v>
      </c>
      <c r="AG15" s="3929" t="n">
        <v>0</v>
      </c>
      <c r="AH15" s="3929" t="n">
        <v>0</v>
      </c>
      <c r="AI15" s="3929" t="n">
        <v>0</v>
      </c>
      <c r="AJ15" s="3929" t="n">
        <v>0</v>
      </c>
      <c r="AK15" s="3929" t="n">
        <v>0</v>
      </c>
      <c r="AL15" s="3929" t="n">
        <v>0</v>
      </c>
      <c r="AM15" s="3929" t="n">
        <v>0</v>
      </c>
      <c r="AN15" s="3929" t="n">
        <v>0</v>
      </c>
      <c r="AO15" s="3929" t="n">
        <v>0</v>
      </c>
      <c r="AP15" s="3929" t="n">
        <v>0</v>
      </c>
      <c r="AQ15" s="3949">
        <f>IF(COUNT(G15:R15)=0,"",SUM(G15:R15))</f>
        <v/>
      </c>
      <c r="AR15" s="3949">
        <f>IF(COUNT(S15:AD15)=0,"",SUM(S15:AD15))</f>
        <v/>
      </c>
      <c r="AS15" s="3949">
        <f>IF(COUNT(AE15:AP15)=0,"",SUM(AE15:AP15))</f>
        <v/>
      </c>
    </row>
    <row r="16">
      <c r="A16" s="3959" t="inlineStr">
        <is>
          <t>IS_NI</t>
        </is>
      </c>
      <c r="B16" s="3959" t="inlineStr">
        <is>
          <t>Net income</t>
        </is>
      </c>
      <c r="C16" s="3959" t="inlineStr"/>
      <c r="D16" s="3959" t="inlineStr">
        <is>
          <t>+</t>
        </is>
      </c>
      <c r="E16" s="3959" t="inlineStr">
        <is>
          <t>Formula</t>
        </is>
      </c>
      <c r="F16" s="3959" t="inlineStr">
        <is>
          <t>Main total</t>
        </is>
      </c>
      <c r="G16" s="3986">
        <f>IF(OR(G13="",G14="",G15=""),"",G13+G14+G15)</f>
        <v/>
      </c>
      <c r="H16" s="3986">
        <f>IF(OR(H13="",H14="",H15=""),"",H13+H14+H15)</f>
        <v/>
      </c>
      <c r="I16" s="3986">
        <f>IF(OR(I13="",I14="",I15=""),"",I13+I14+I15)</f>
        <v/>
      </c>
      <c r="J16" s="3986">
        <f>IF(OR(J13="",J14="",J15=""),"",J13+J14+J15)</f>
        <v/>
      </c>
      <c r="K16" s="3986">
        <f>IF(OR(K13="",K14="",K15=""),"",K13+K14+K15)</f>
        <v/>
      </c>
      <c r="L16" s="3986">
        <f>IF(OR(L13="",L14="",L15=""),"",L13+L14+L15)</f>
        <v/>
      </c>
      <c r="M16" s="3986">
        <f>IF(OR(M13="",M14="",M15=""),"",M13+M14+M15)</f>
        <v/>
      </c>
      <c r="N16" s="3986">
        <f>IF(OR(N13="",N14="",N15=""),"",N13+N14+N15)</f>
        <v/>
      </c>
      <c r="O16" s="3986">
        <f>IF(OR(O13="",O14="",O15=""),"",O13+O14+O15)</f>
        <v/>
      </c>
      <c r="P16" s="3986">
        <f>IF(OR(P13="",P14="",P15=""),"",P13+P14+P15)</f>
        <v/>
      </c>
      <c r="Q16" s="3986">
        <f>IF(OR(Q13="",Q14="",Q15=""),"",Q13+Q14+Q15)</f>
        <v/>
      </c>
      <c r="R16" s="3986">
        <f>IF(OR(R13="",R14="",R15=""),"",R13+R14+R15)</f>
        <v/>
      </c>
      <c r="S16" s="3986">
        <f>IF(OR(S13="",S14="",S15=""),"",S13+S14+S15)</f>
        <v/>
      </c>
      <c r="T16" s="3986">
        <f>IF(OR(T13="",T14="",T15=""),"",T13+T14+T15)</f>
        <v/>
      </c>
      <c r="U16" s="3986">
        <f>IF(OR(U13="",U14="",U15=""),"",U13+U14+U15)</f>
        <v/>
      </c>
      <c r="V16" s="3986">
        <f>IF(OR(V13="",V14="",V15=""),"",V13+V14+V15)</f>
        <v/>
      </c>
      <c r="W16" s="3986">
        <f>IF(OR(W13="",W14="",W15=""),"",W13+W14+W15)</f>
        <v/>
      </c>
      <c r="X16" s="3986">
        <f>IF(OR(X13="",X14="",X15=""),"",X13+X14+X15)</f>
        <v/>
      </c>
      <c r="Y16" s="3986">
        <f>IF(OR(Y13="",Y14="",Y15=""),"",Y13+Y14+Y15)</f>
        <v/>
      </c>
      <c r="Z16" s="3986">
        <f>IF(OR(Z13="",Z14="",Z15=""),"",Z13+Z14+Z15)</f>
        <v/>
      </c>
      <c r="AA16" s="3986">
        <f>IF(OR(AA13="",AA14="",AA15=""),"",AA13+AA14+AA15)</f>
        <v/>
      </c>
      <c r="AB16" s="3986">
        <f>IF(OR(AB13="",AB14="",AB15=""),"",AB13+AB14+AB15)</f>
        <v/>
      </c>
      <c r="AC16" s="3986">
        <f>IF(OR(AC13="",AC14="",AC15=""),"",AC13+AC14+AC15)</f>
        <v/>
      </c>
      <c r="AD16" s="3986">
        <f>IF(OR(AD13="",AD14="",AD15=""),"",AD13+AD14+AD15)</f>
        <v/>
      </c>
      <c r="AE16" s="3986">
        <f>IF(OR(AE13="",AE14="",AE15=""),"",AE13+AE14+AE15)</f>
        <v/>
      </c>
      <c r="AF16" s="3986">
        <f>IF(OR(AF13="",AF14="",AF15=""),"",AF13+AF14+AF15)</f>
        <v/>
      </c>
      <c r="AG16" s="3986">
        <f>IF(OR(AG13="",AG14="",AG15=""),"",AG13+AG14+AG15)</f>
        <v/>
      </c>
      <c r="AH16" s="3986">
        <f>IF(OR(AH13="",AH14="",AH15=""),"",AH13+AH14+AH15)</f>
        <v/>
      </c>
      <c r="AI16" s="3986">
        <f>IF(OR(AI13="",AI14="",AI15=""),"",AI13+AI14+AI15)</f>
        <v/>
      </c>
      <c r="AJ16" s="3986">
        <f>IF(OR(AJ13="",AJ14="",AJ15=""),"",AJ13+AJ14+AJ15)</f>
        <v/>
      </c>
      <c r="AK16" s="3986">
        <f>IF(OR(AK13="",AK14="",AK15=""),"",AK13+AK14+AK15)</f>
        <v/>
      </c>
      <c r="AL16" s="3986">
        <f>IF(OR(AL13="",AL14="",AL15=""),"",AL13+AL14+AL15)</f>
        <v/>
      </c>
      <c r="AM16" s="3986">
        <f>IF(OR(AM13="",AM14="",AM15=""),"",AM13+AM14+AM15)</f>
        <v/>
      </c>
      <c r="AN16" s="3986">
        <f>IF(OR(AN13="",AN14="",AN15=""),"",AN13+AN14+AN15)</f>
        <v/>
      </c>
      <c r="AO16" s="3986">
        <f>IF(OR(AO13="",AO14="",AO15=""),"",AO13+AO14+AO15)</f>
        <v/>
      </c>
      <c r="AP16" s="3986">
        <f>IF(OR(AP13="",AP14="",AP15=""),"",AP13+AP14+AP15)</f>
        <v/>
      </c>
      <c r="AQ16" s="3987">
        <f>IF(COUNT(G16:R16)=0,"",SUM(G16:R16))</f>
        <v/>
      </c>
      <c r="AR16" s="3987">
        <f>IF(COUNT(S16:AD16)=0,"",SUM(S16:AD16))</f>
        <v/>
      </c>
      <c r="AS16" s="3987">
        <f>IF(COUNT(AE16:AP16)=0,"",SUM(AE16:AP16))</f>
        <v/>
      </c>
    </row>
    <row r="17">
      <c r="A17" s="3959" t="inlineStr">
        <is>
          <t>IS_ADD_DA</t>
        </is>
      </c>
      <c r="B17" s="3959" t="inlineStr">
        <is>
          <t>Add back: Depreciation &amp; amortization</t>
        </is>
      </c>
      <c r="C17" s="3959" t="n">
        <v>7300</v>
      </c>
      <c r="D17" s="3959" t="inlineStr">
        <is>
          <t>+</t>
        </is>
      </c>
      <c r="E17" s="3959" t="inlineStr">
        <is>
          <t>TB/Map</t>
        </is>
      </c>
      <c r="F17" s="3959" t="inlineStr"/>
      <c r="G17" s="3929" t="n">
        <v>0</v>
      </c>
      <c r="H17" s="3929" t="n">
        <v>0</v>
      </c>
      <c r="I17" s="3929" t="n">
        <v>0</v>
      </c>
      <c r="J17" s="3929" t="n">
        <v>0</v>
      </c>
      <c r="K17" s="3929" t="n">
        <v>0</v>
      </c>
      <c r="L17" s="3929" t="n">
        <v>0</v>
      </c>
      <c r="M17" s="3929" t="n">
        <v>0</v>
      </c>
      <c r="N17" s="3929" t="n">
        <v>0</v>
      </c>
      <c r="O17" s="3929" t="n">
        <v>0</v>
      </c>
      <c r="P17" s="3929" t="n">
        <v>0</v>
      </c>
      <c r="Q17" s="3929" t="n">
        <v>0</v>
      </c>
      <c r="R17" s="3929" t="n">
        <v>0</v>
      </c>
      <c r="S17" s="3929" t="n">
        <v>0</v>
      </c>
      <c r="T17" s="3929" t="n">
        <v>0</v>
      </c>
      <c r="U17" s="3929" t="n">
        <v>0</v>
      </c>
      <c r="V17" s="3929" t="n">
        <v>0</v>
      </c>
      <c r="W17" s="3929" t="n">
        <v>0</v>
      </c>
      <c r="X17" s="3929" t="n">
        <v>0</v>
      </c>
      <c r="Y17" s="3929" t="n">
        <v>0</v>
      </c>
      <c r="Z17" s="3929" t="n">
        <v>0</v>
      </c>
      <c r="AA17" s="3929" t="n">
        <v>0</v>
      </c>
      <c r="AB17" s="3929" t="n">
        <v>0</v>
      </c>
      <c r="AC17" s="3929" t="n">
        <v>0</v>
      </c>
      <c r="AD17" s="3929" t="n">
        <v>0</v>
      </c>
      <c r="AE17" s="3929" t="n">
        <v>0</v>
      </c>
      <c r="AF17" s="3929" t="n">
        <v>0</v>
      </c>
      <c r="AG17" s="3929" t="n">
        <v>0</v>
      </c>
      <c r="AH17" s="3929" t="n">
        <v>0</v>
      </c>
      <c r="AI17" s="3929" t="n">
        <v>0</v>
      </c>
      <c r="AJ17" s="3929" t="n">
        <v>0</v>
      </c>
      <c r="AK17" s="3929" t="n">
        <v>0</v>
      </c>
      <c r="AL17" s="3929" t="n">
        <v>0</v>
      </c>
      <c r="AM17" s="3929" t="n">
        <v>0</v>
      </c>
      <c r="AN17" s="3929" t="n">
        <v>0</v>
      </c>
      <c r="AO17" s="3929" t="n">
        <v>0</v>
      </c>
      <c r="AP17" s="3929" t="n">
        <v>0</v>
      </c>
      <c r="AQ17" s="3949">
        <f>IF(COUNT(G17:R17)=0,"",SUM(G17:R17))</f>
        <v/>
      </c>
      <c r="AR17" s="3949">
        <f>IF(COUNT(S17:AD17)=0,"",SUM(S17:AD17))</f>
        <v/>
      </c>
      <c r="AS17" s="3949">
        <f>IF(COUNT(AE17:AP17)=0,"",SUM(AE17:AP17))</f>
        <v/>
      </c>
    </row>
    <row r="18">
      <c r="A18" s="3959" t="inlineStr">
        <is>
          <t>IS_ADD_INT</t>
        </is>
      </c>
      <c r="B18" s="3959" t="inlineStr">
        <is>
          <t>Add back: Interest</t>
        </is>
      </c>
      <c r="C18" s="3959" t="n">
        <v>7310</v>
      </c>
      <c r="D18" s="3959" t="inlineStr">
        <is>
          <t>+</t>
        </is>
      </c>
      <c r="E18" s="3959" t="inlineStr">
        <is>
          <t>TB/Map</t>
        </is>
      </c>
      <c r="F18" s="3959" t="inlineStr"/>
      <c r="G18" s="3929" t="n">
        <v>0</v>
      </c>
      <c r="H18" s="3929" t="n">
        <v>0</v>
      </c>
      <c r="I18" s="3929" t="n">
        <v>0</v>
      </c>
      <c r="J18" s="3929" t="n">
        <v>0</v>
      </c>
      <c r="K18" s="3929" t="n">
        <v>0</v>
      </c>
      <c r="L18" s="3929" t="n">
        <v>0</v>
      </c>
      <c r="M18" s="3929" t="n">
        <v>0</v>
      </c>
      <c r="N18" s="3929" t="n">
        <v>0</v>
      </c>
      <c r="O18" s="3929" t="n">
        <v>0</v>
      </c>
      <c r="P18" s="3929" t="n">
        <v>0</v>
      </c>
      <c r="Q18" s="3929" t="n">
        <v>0</v>
      </c>
      <c r="R18" s="3929" t="n">
        <v>0</v>
      </c>
      <c r="S18" s="3929" t="n">
        <v>0</v>
      </c>
      <c r="T18" s="3929" t="n">
        <v>0</v>
      </c>
      <c r="U18" s="3929" t="n">
        <v>0</v>
      </c>
      <c r="V18" s="3929" t="n">
        <v>0</v>
      </c>
      <c r="W18" s="3929" t="n">
        <v>0</v>
      </c>
      <c r="X18" s="3929" t="n">
        <v>0</v>
      </c>
      <c r="Y18" s="3929" t="n">
        <v>0</v>
      </c>
      <c r="Z18" s="3929" t="n">
        <v>0</v>
      </c>
      <c r="AA18" s="3929" t="n">
        <v>0</v>
      </c>
      <c r="AB18" s="3929" t="n">
        <v>0</v>
      </c>
      <c r="AC18" s="3929" t="n">
        <v>0</v>
      </c>
      <c r="AD18" s="3929" t="n">
        <v>0</v>
      </c>
      <c r="AE18" s="3929" t="n">
        <v>0</v>
      </c>
      <c r="AF18" s="3929" t="n">
        <v>0</v>
      </c>
      <c r="AG18" s="3929" t="n">
        <v>0</v>
      </c>
      <c r="AH18" s="3929" t="n">
        <v>0</v>
      </c>
      <c r="AI18" s="3929" t="n">
        <v>0</v>
      </c>
      <c r="AJ18" s="3929" t="n">
        <v>0</v>
      </c>
      <c r="AK18" s="3929" t="n">
        <v>0</v>
      </c>
      <c r="AL18" s="3929" t="n">
        <v>0</v>
      </c>
      <c r="AM18" s="3929" t="n">
        <v>0</v>
      </c>
      <c r="AN18" s="3929" t="n">
        <v>0</v>
      </c>
      <c r="AO18" s="3929" t="n">
        <v>0</v>
      </c>
      <c r="AP18" s="3929" t="n">
        <v>0</v>
      </c>
      <c r="AQ18" s="3949">
        <f>IF(COUNT(G18:R18)=0,"",SUM(G18:R18))</f>
        <v/>
      </c>
      <c r="AR18" s="3949">
        <f>IF(COUNT(S18:AD18)=0,"",SUM(S18:AD18))</f>
        <v/>
      </c>
      <c r="AS18" s="3949">
        <f>IF(COUNT(AE18:AP18)=0,"",SUM(AE18:AP18))</f>
        <v/>
      </c>
    </row>
    <row r="19">
      <c r="A19" s="3959" t="inlineStr">
        <is>
          <t>IS_ADD_TAX</t>
        </is>
      </c>
      <c r="B19" s="3959" t="inlineStr">
        <is>
          <t>Add back: Taxes</t>
        </is>
      </c>
      <c r="C19" s="3959" t="n">
        <v>7320</v>
      </c>
      <c r="D19" s="3959" t="inlineStr">
        <is>
          <t>+</t>
        </is>
      </c>
      <c r="E19" s="3959" t="inlineStr">
        <is>
          <t>TB/Map</t>
        </is>
      </c>
      <c r="F19" s="3959" t="inlineStr"/>
      <c r="G19" s="3929" t="n">
        <v>0</v>
      </c>
      <c r="H19" s="3929" t="n">
        <v>0</v>
      </c>
      <c r="I19" s="3929" t="n">
        <v>0</v>
      </c>
      <c r="J19" s="3929" t="n">
        <v>0</v>
      </c>
      <c r="K19" s="3929" t="n">
        <v>0</v>
      </c>
      <c r="L19" s="3929" t="n">
        <v>0</v>
      </c>
      <c r="M19" s="3929" t="n">
        <v>0</v>
      </c>
      <c r="N19" s="3929" t="n">
        <v>0</v>
      </c>
      <c r="O19" s="3929" t="n">
        <v>0</v>
      </c>
      <c r="P19" s="3929" t="n">
        <v>0</v>
      </c>
      <c r="Q19" s="3929" t="n">
        <v>0</v>
      </c>
      <c r="R19" s="3929" t="n">
        <v>0</v>
      </c>
      <c r="S19" s="3929" t="n">
        <v>0</v>
      </c>
      <c r="T19" s="3929" t="n">
        <v>0</v>
      </c>
      <c r="U19" s="3929" t="n">
        <v>0</v>
      </c>
      <c r="V19" s="3929" t="n">
        <v>0</v>
      </c>
      <c r="W19" s="3929" t="n">
        <v>0</v>
      </c>
      <c r="X19" s="3929" t="n">
        <v>0</v>
      </c>
      <c r="Y19" s="3929" t="n">
        <v>0</v>
      </c>
      <c r="Z19" s="3929" t="n">
        <v>0</v>
      </c>
      <c r="AA19" s="3929" t="n">
        <v>0</v>
      </c>
      <c r="AB19" s="3929" t="n">
        <v>0</v>
      </c>
      <c r="AC19" s="3929" t="n">
        <v>0</v>
      </c>
      <c r="AD19" s="3929" t="n">
        <v>0</v>
      </c>
      <c r="AE19" s="3929" t="n">
        <v>0</v>
      </c>
      <c r="AF19" s="3929" t="n">
        <v>0</v>
      </c>
      <c r="AG19" s="3929" t="n">
        <v>0</v>
      </c>
      <c r="AH19" s="3929" t="n">
        <v>0</v>
      </c>
      <c r="AI19" s="3929" t="n">
        <v>0</v>
      </c>
      <c r="AJ19" s="3929" t="n">
        <v>0</v>
      </c>
      <c r="AK19" s="3929" t="n">
        <v>0</v>
      </c>
      <c r="AL19" s="3929" t="n">
        <v>0</v>
      </c>
      <c r="AM19" s="3929" t="n">
        <v>0</v>
      </c>
      <c r="AN19" s="3929" t="n">
        <v>0</v>
      </c>
      <c r="AO19" s="3929" t="n">
        <v>0</v>
      </c>
      <c r="AP19" s="3929" t="n">
        <v>0</v>
      </c>
      <c r="AQ19" s="3949">
        <f>IF(COUNT(G19:R19)=0,"",SUM(G19:R19))</f>
        <v/>
      </c>
      <c r="AR19" s="3949">
        <f>IF(COUNT(S19:AD19)=0,"",SUM(S19:AD19))</f>
        <v/>
      </c>
      <c r="AS19" s="3949">
        <f>IF(COUNT(AE19:AP19)=0,"",SUM(AE19:AP19))</f>
        <v/>
      </c>
    </row>
    <row r="20">
      <c r="A20" s="3959" t="inlineStr">
        <is>
          <t>IS_EBITDA</t>
        </is>
      </c>
      <c r="B20" s="3959" t="inlineStr">
        <is>
          <t>EBITDA</t>
        </is>
      </c>
      <c r="C20" s="3959" t="inlineStr"/>
      <c r="D20" s="3959" t="inlineStr">
        <is>
          <t>+</t>
        </is>
      </c>
      <c r="E20" s="3959" t="inlineStr">
        <is>
          <t>Formula</t>
        </is>
      </c>
      <c r="F20" s="3959" t="inlineStr">
        <is>
          <t>Secondary total</t>
        </is>
      </c>
      <c r="G20" s="3986">
        <f>IF(OR(G16="",G17="",G18="",G19=""),"",G16+G17+G18+G19)</f>
        <v/>
      </c>
      <c r="H20" s="3986">
        <f>IF(OR(H16="",H17="",H18="",H19=""),"",H16+H17+H18+H19)</f>
        <v/>
      </c>
      <c r="I20" s="3986">
        <f>IF(OR(I16="",I17="",I18="",I19=""),"",I16+I17+I18+I19)</f>
        <v/>
      </c>
      <c r="J20" s="3986">
        <f>IF(OR(J16="",J17="",J18="",J19=""),"",J16+J17+J18+J19)</f>
        <v/>
      </c>
      <c r="K20" s="3986">
        <f>IF(OR(K16="",K17="",K18="",K19=""),"",K16+K17+K18+K19)</f>
        <v/>
      </c>
      <c r="L20" s="3986">
        <f>IF(OR(L16="",L17="",L18="",L19=""),"",L16+L17+L18+L19)</f>
        <v/>
      </c>
      <c r="M20" s="3986">
        <f>IF(OR(M16="",M17="",M18="",M19=""),"",M16+M17+M18+M19)</f>
        <v/>
      </c>
      <c r="N20" s="3986">
        <f>IF(OR(N16="",N17="",N18="",N19=""),"",N16+N17+N18+N19)</f>
        <v/>
      </c>
      <c r="O20" s="3986">
        <f>IF(OR(O16="",O17="",O18="",O19=""),"",O16+O17+O18+O19)</f>
        <v/>
      </c>
      <c r="P20" s="3986">
        <f>IF(OR(P16="",P17="",P18="",P19=""),"",P16+P17+P18+P19)</f>
        <v/>
      </c>
      <c r="Q20" s="3986">
        <f>IF(OR(Q16="",Q17="",Q18="",Q19=""),"",Q16+Q17+Q18+Q19)</f>
        <v/>
      </c>
      <c r="R20" s="3986">
        <f>IF(OR(R16="",R17="",R18="",R19=""),"",R16+R17+R18+R19)</f>
        <v/>
      </c>
      <c r="S20" s="3986">
        <f>IF(OR(S16="",S17="",S18="",S19=""),"",S16+S17+S18+S19)</f>
        <v/>
      </c>
      <c r="T20" s="3986">
        <f>IF(OR(T16="",T17="",T18="",T19=""),"",T16+T17+T18+T19)</f>
        <v/>
      </c>
      <c r="U20" s="3986">
        <f>IF(OR(U16="",U17="",U18="",U19=""),"",U16+U17+U18+U19)</f>
        <v/>
      </c>
      <c r="V20" s="3986">
        <f>IF(OR(V16="",V17="",V18="",V19=""),"",V16+V17+V18+V19)</f>
        <v/>
      </c>
      <c r="W20" s="3986">
        <f>IF(OR(W16="",W17="",W18="",W19=""),"",W16+W17+W18+W19)</f>
        <v/>
      </c>
      <c r="X20" s="3986">
        <f>IF(OR(X16="",X17="",X18="",X19=""),"",X16+X17+X18+X19)</f>
        <v/>
      </c>
      <c r="Y20" s="3986">
        <f>IF(OR(Y16="",Y17="",Y18="",Y19=""),"",Y16+Y17+Y18+Y19)</f>
        <v/>
      </c>
      <c r="Z20" s="3986">
        <f>IF(OR(Z16="",Z17="",Z18="",Z19=""),"",Z16+Z17+Z18+Z19)</f>
        <v/>
      </c>
      <c r="AA20" s="3986">
        <f>IF(OR(AA16="",AA17="",AA18="",AA19=""),"",AA16+AA17+AA18+AA19)</f>
        <v/>
      </c>
      <c r="AB20" s="3986">
        <f>IF(OR(AB16="",AB17="",AB18="",AB19=""),"",AB16+AB17+AB18+AB19)</f>
        <v/>
      </c>
      <c r="AC20" s="3986">
        <f>IF(OR(AC16="",AC17="",AC18="",AC19=""),"",AC16+AC17+AC18+AC19)</f>
        <v/>
      </c>
      <c r="AD20" s="3986">
        <f>IF(OR(AD16="",AD17="",AD18="",AD19=""),"",AD16+AD17+AD18+AD19)</f>
        <v/>
      </c>
      <c r="AE20" s="3986">
        <f>IF(OR(AE16="",AE17="",AE18="",AE19=""),"",AE16+AE17+AE18+AE19)</f>
        <v/>
      </c>
      <c r="AF20" s="3986">
        <f>IF(OR(AF16="",AF17="",AF18="",AF19=""),"",AF16+AF17+AF18+AF19)</f>
        <v/>
      </c>
      <c r="AG20" s="3986">
        <f>IF(OR(AG16="",AG17="",AG18="",AG19=""),"",AG16+AG17+AG18+AG19)</f>
        <v/>
      </c>
      <c r="AH20" s="3986">
        <f>IF(OR(AH16="",AH17="",AH18="",AH19=""),"",AH16+AH17+AH18+AH19)</f>
        <v/>
      </c>
      <c r="AI20" s="3986">
        <f>IF(OR(AI16="",AI17="",AI18="",AI19=""),"",AI16+AI17+AI18+AI19)</f>
        <v/>
      </c>
      <c r="AJ20" s="3986">
        <f>IF(OR(AJ16="",AJ17="",AJ18="",AJ19=""),"",AJ16+AJ17+AJ18+AJ19)</f>
        <v/>
      </c>
      <c r="AK20" s="3986">
        <f>IF(OR(AK16="",AK17="",AK18="",AK19=""),"",AK16+AK17+AK18+AK19)</f>
        <v/>
      </c>
      <c r="AL20" s="3986">
        <f>IF(OR(AL16="",AL17="",AL18="",AL19=""),"",AL16+AL17+AL18+AL19)</f>
        <v/>
      </c>
      <c r="AM20" s="3986">
        <f>IF(OR(AM16="",AM17="",AM18="",AM19=""),"",AM16+AM17+AM18+AM19)</f>
        <v/>
      </c>
      <c r="AN20" s="3986">
        <f>IF(OR(AN16="",AN17="",AN18="",AN19=""),"",AN16+AN17+AN18+AN19)</f>
        <v/>
      </c>
      <c r="AO20" s="3986">
        <f>IF(OR(AO16="",AO17="",AO18="",AO19=""),"",AO16+AO17+AO18+AO19)</f>
        <v/>
      </c>
      <c r="AP20" s="3986">
        <f>IF(OR(AP16="",AP17="",AP18="",AP19=""),"",AP16+AP17+AP18+AP19)</f>
        <v/>
      </c>
      <c r="AQ20" s="3987">
        <f>IF(COUNT(G20:R20)=0,"",SUM(G20:R20))</f>
        <v/>
      </c>
      <c r="AR20" s="3987">
        <f>IF(COUNT(S20:AD20)=0,"",SUM(S20:AD20))</f>
        <v/>
      </c>
      <c r="AS20" s="3987">
        <f>IF(COUNT(AE20:AP20)=0,"",SUM(AE20:AP20))</f>
        <v/>
      </c>
    </row>
    <row r="21">
      <c r="A21" s="3959" t="n"/>
      <c r="B21" s="3959" t="n"/>
      <c r="C21" s="3959" t="n"/>
      <c r="D21" s="3959" t="n"/>
      <c r="E21" s="3959" t="n"/>
      <c r="F21" s="3959" t="n"/>
      <c r="G21" s="3960" t="n"/>
      <c r="H21" s="3960" t="n"/>
      <c r="I21" s="3960" t="n"/>
      <c r="J21" s="3960" t="n"/>
      <c r="K21" s="3960" t="n"/>
      <c r="L21" s="3960" t="n"/>
      <c r="M21" s="3960" t="n"/>
      <c r="N21" s="3960" t="n"/>
      <c r="O21" s="3960" t="n"/>
      <c r="P21" s="3960" t="n"/>
      <c r="Q21" s="3960" t="n"/>
      <c r="R21" s="3960" t="n"/>
      <c r="S21" s="3960" t="n"/>
      <c r="T21" s="3960" t="n"/>
      <c r="U21" s="3960" t="n"/>
      <c r="V21" s="3960" t="n"/>
      <c r="W21" s="3960" t="n"/>
      <c r="X21" s="3960" t="n"/>
      <c r="Y21" s="3960" t="n"/>
      <c r="Z21" s="3960" t="n"/>
      <c r="AA21" s="3960" t="n"/>
      <c r="AB21" s="3960" t="n"/>
      <c r="AC21" s="3960" t="n"/>
      <c r="AD21" s="3960" t="n"/>
      <c r="AE21" s="3960" t="n"/>
      <c r="AF21" s="3960" t="n"/>
      <c r="AG21" s="3960" t="n"/>
      <c r="AH21" s="3960" t="n"/>
      <c r="AI21" s="3960" t="n"/>
      <c r="AJ21" s="3960" t="n"/>
      <c r="AK21" s="3960" t="n"/>
      <c r="AL21" s="3960" t="n"/>
      <c r="AM21" s="3960" t="n"/>
      <c r="AN21" s="3960" t="n"/>
      <c r="AO21" s="3960" t="n"/>
      <c r="AP21" s="3960" t="n"/>
      <c r="AQ21" s="3960" t="n"/>
      <c r="AR21" s="3960" t="n"/>
      <c r="AS21" s="3960" t="n"/>
    </row>
    <row r="22">
      <c r="A22" s="3959" t="n"/>
      <c r="B22" s="3959" t="n"/>
      <c r="C22" s="3959" t="n"/>
      <c r="D22" s="3959" t="n"/>
      <c r="E22" s="3959" t="n"/>
      <c r="F22" s="3959" t="n"/>
      <c r="G22" s="3960" t="n"/>
      <c r="H22" s="3960" t="n"/>
      <c r="I22" s="3960" t="n"/>
      <c r="J22" s="3960" t="n"/>
      <c r="K22" s="3960" t="n"/>
      <c r="L22" s="3960" t="n"/>
      <c r="M22" s="3960" t="n"/>
      <c r="N22" s="3960" t="n"/>
      <c r="O22" s="3960" t="n"/>
      <c r="P22" s="3960" t="n"/>
      <c r="Q22" s="3960" t="n"/>
      <c r="R22" s="3960" t="n"/>
      <c r="S22" s="3960" t="n"/>
      <c r="T22" s="3960" t="n"/>
      <c r="U22" s="3960" t="n"/>
      <c r="V22" s="3960" t="n"/>
      <c r="W22" s="3960" t="n"/>
      <c r="X22" s="3960" t="n"/>
      <c r="Y22" s="3960" t="n"/>
      <c r="Z22" s="3960" t="n"/>
      <c r="AA22" s="3960" t="n"/>
      <c r="AB22" s="3960" t="n"/>
      <c r="AC22" s="3960" t="n"/>
      <c r="AD22" s="3960" t="n"/>
      <c r="AE22" s="3960" t="n"/>
      <c r="AF22" s="3960" t="n"/>
      <c r="AG22" s="3960" t="n"/>
      <c r="AH22" s="3960" t="n"/>
      <c r="AI22" s="3960" t="n"/>
      <c r="AJ22" s="3960" t="n"/>
      <c r="AK22" s="3960" t="n"/>
      <c r="AL22" s="3960" t="n"/>
      <c r="AM22" s="3960" t="n"/>
      <c r="AN22" s="3960" t="n"/>
      <c r="AO22" s="3960" t="n"/>
      <c r="AP22" s="3960" t="n"/>
      <c r="AQ22" s="3960" t="n"/>
      <c r="AR22" s="3960" t="n"/>
      <c r="AS22" s="3960" t="n"/>
    </row>
    <row r="23">
      <c r="A23" s="3959" t="n"/>
      <c r="B23" s="3959" t="n"/>
      <c r="C23" s="3959" t="n"/>
      <c r="D23" s="3959" t="n"/>
      <c r="E23" s="3959" t="n"/>
      <c r="F23" s="3959" t="n"/>
      <c r="G23" s="3960" t="n"/>
      <c r="H23" s="3960" t="n"/>
      <c r="I23" s="3960" t="n"/>
      <c r="J23" s="3960" t="n"/>
      <c r="K23" s="3960" t="n"/>
      <c r="L23" s="3960" t="n"/>
      <c r="M23" s="3960" t="n"/>
      <c r="N23" s="3960" t="n"/>
      <c r="O23" s="3960" t="n"/>
      <c r="P23" s="3960" t="n"/>
      <c r="Q23" s="3960" t="n"/>
      <c r="R23" s="3960" t="n"/>
      <c r="S23" s="3960" t="n"/>
      <c r="T23" s="3960" t="n"/>
      <c r="U23" s="3960" t="n"/>
      <c r="V23" s="3960" t="n"/>
      <c r="W23" s="3960" t="n"/>
      <c r="X23" s="3960" t="n"/>
      <c r="Y23" s="3960" t="n"/>
      <c r="Z23" s="3960" t="n"/>
      <c r="AA23" s="3960" t="n"/>
      <c r="AB23" s="3960" t="n"/>
      <c r="AC23" s="3960" t="n"/>
      <c r="AD23" s="3960" t="n"/>
      <c r="AE23" s="3960" t="n"/>
      <c r="AF23" s="3960" t="n"/>
      <c r="AG23" s="3960" t="n"/>
      <c r="AH23" s="3960" t="n"/>
      <c r="AI23" s="3960" t="n"/>
      <c r="AJ23" s="3960" t="n"/>
      <c r="AK23" s="3960" t="n"/>
      <c r="AL23" s="3960" t="n"/>
      <c r="AM23" s="3960" t="n"/>
      <c r="AN23" s="3960" t="n"/>
      <c r="AO23" s="3960" t="n"/>
      <c r="AP23" s="3960" t="n"/>
      <c r="AQ23" s="3960" t="n"/>
      <c r="AR23" s="3960" t="n"/>
      <c r="AS23" s="3960" t="n"/>
    </row>
    <row r="24">
      <c r="A24" s="3959" t="n"/>
      <c r="B24" s="3959" t="n"/>
      <c r="C24" s="3959" t="n"/>
      <c r="D24" s="3959" t="n"/>
      <c r="E24" s="3959" t="n"/>
      <c r="F24" s="3959" t="n"/>
      <c r="G24" s="3960" t="n"/>
      <c r="H24" s="3960" t="n"/>
      <c r="I24" s="3960" t="n"/>
      <c r="J24" s="3960" t="n"/>
      <c r="K24" s="3960" t="n"/>
      <c r="L24" s="3960" t="n"/>
      <c r="M24" s="3960" t="n"/>
      <c r="N24" s="3960" t="n"/>
      <c r="O24" s="3960" t="n"/>
      <c r="P24" s="3960" t="n"/>
      <c r="Q24" s="3960" t="n"/>
      <c r="R24" s="3960" t="n"/>
      <c r="S24" s="3960" t="n"/>
      <c r="T24" s="3960" t="n"/>
      <c r="U24" s="3960" t="n"/>
      <c r="V24" s="3960" t="n"/>
      <c r="W24" s="3960" t="n"/>
      <c r="X24" s="3960" t="n"/>
      <c r="Y24" s="3960" t="n"/>
      <c r="Z24" s="3960" t="n"/>
      <c r="AA24" s="3960" t="n"/>
      <c r="AB24" s="3960" t="n"/>
      <c r="AC24" s="3960" t="n"/>
      <c r="AD24" s="3960" t="n"/>
      <c r="AE24" s="3960" t="n"/>
      <c r="AF24" s="3960" t="n"/>
      <c r="AG24" s="3960" t="n"/>
      <c r="AH24" s="3960" t="n"/>
      <c r="AI24" s="3960" t="n"/>
      <c r="AJ24" s="3960" t="n"/>
      <c r="AK24" s="3960" t="n"/>
      <c r="AL24" s="3960" t="n"/>
      <c r="AM24" s="3960" t="n"/>
      <c r="AN24" s="3960" t="n"/>
      <c r="AO24" s="3960" t="n"/>
      <c r="AP24" s="3960" t="n"/>
      <c r="AQ24" s="3960" t="n"/>
      <c r="AR24" s="3960" t="n"/>
      <c r="AS24" s="3960" t="n"/>
    </row>
    <row r="25">
      <c r="A25" s="3959" t="n"/>
      <c r="B25" s="3959" t="n"/>
      <c r="C25" s="3959" t="n"/>
      <c r="D25" s="3959" t="n"/>
      <c r="E25" s="3959" t="n"/>
      <c r="F25" s="3959" t="n"/>
      <c r="G25" s="3960" t="n"/>
      <c r="H25" s="3960" t="n"/>
      <c r="I25" s="3960" t="n"/>
      <c r="J25" s="3960" t="n"/>
      <c r="K25" s="3960" t="n"/>
      <c r="L25" s="3960" t="n"/>
      <c r="M25" s="3960" t="n"/>
      <c r="N25" s="3960" t="n"/>
      <c r="O25" s="3960" t="n"/>
      <c r="P25" s="3960" t="n"/>
      <c r="Q25" s="3960" t="n"/>
      <c r="R25" s="3960" t="n"/>
      <c r="S25" s="3960" t="n"/>
      <c r="T25" s="3960" t="n"/>
      <c r="U25" s="3960" t="n"/>
      <c r="V25" s="3960" t="n"/>
      <c r="W25" s="3960" t="n"/>
      <c r="X25" s="3960" t="n"/>
      <c r="Y25" s="3960" t="n"/>
      <c r="Z25" s="3960" t="n"/>
      <c r="AA25" s="3960" t="n"/>
      <c r="AB25" s="3960" t="n"/>
      <c r="AC25" s="3960" t="n"/>
      <c r="AD25" s="3960" t="n"/>
      <c r="AE25" s="3960" t="n"/>
      <c r="AF25" s="3960" t="n"/>
      <c r="AG25" s="3960" t="n"/>
      <c r="AH25" s="3960" t="n"/>
      <c r="AI25" s="3960" t="n"/>
      <c r="AJ25" s="3960" t="n"/>
      <c r="AK25" s="3960" t="n"/>
      <c r="AL25" s="3960" t="n"/>
      <c r="AM25" s="3960" t="n"/>
      <c r="AN25" s="3960" t="n"/>
      <c r="AO25" s="3960" t="n"/>
      <c r="AP25" s="3960" t="n"/>
      <c r="AQ25" s="3960" t="n"/>
      <c r="AR25" s="3960" t="n"/>
      <c r="AS25" s="3960" t="n"/>
    </row>
    <row r="26">
      <c r="A26" s="3959" t="n"/>
      <c r="B26" s="3959" t="n"/>
      <c r="C26" s="3959" t="n"/>
      <c r="D26" s="3959" t="n"/>
      <c r="E26" s="3959" t="n"/>
      <c r="F26" s="3959" t="n"/>
      <c r="G26" s="3960" t="n"/>
      <c r="H26" s="3960" t="n"/>
      <c r="I26" s="3960" t="n"/>
      <c r="J26" s="3960" t="n"/>
      <c r="K26" s="3960" t="n"/>
      <c r="L26" s="3960" t="n"/>
      <c r="M26" s="3960" t="n"/>
      <c r="N26" s="3960" t="n"/>
      <c r="O26" s="3960" t="n"/>
      <c r="P26" s="3960" t="n"/>
      <c r="Q26" s="3960" t="n"/>
      <c r="R26" s="3960" t="n"/>
      <c r="S26" s="3960" t="n"/>
      <c r="T26" s="3960" t="n"/>
      <c r="U26" s="3960" t="n"/>
      <c r="V26" s="3960" t="n"/>
      <c r="W26" s="3960" t="n"/>
      <c r="X26" s="3960" t="n"/>
      <c r="Y26" s="3960" t="n"/>
      <c r="Z26" s="3960" t="n"/>
      <c r="AA26" s="3960" t="n"/>
      <c r="AB26" s="3960" t="n"/>
      <c r="AC26" s="3960" t="n"/>
      <c r="AD26" s="3960" t="n"/>
      <c r="AE26" s="3960" t="n"/>
      <c r="AF26" s="3960" t="n"/>
      <c r="AG26" s="3960" t="n"/>
      <c r="AH26" s="3960" t="n"/>
      <c r="AI26" s="3960" t="n"/>
      <c r="AJ26" s="3960" t="n"/>
      <c r="AK26" s="3960" t="n"/>
      <c r="AL26" s="3960" t="n"/>
      <c r="AM26" s="3960" t="n"/>
      <c r="AN26" s="3960" t="n"/>
      <c r="AO26" s="3960" t="n"/>
      <c r="AP26" s="3960" t="n"/>
      <c r="AQ26" s="3960" t="n"/>
      <c r="AR26" s="3960" t="n"/>
      <c r="AS26" s="3960" t="n"/>
    </row>
    <row r="27">
      <c r="A27" s="3979" t="inlineStr">
        <is>
          <t>IS_CHECKS</t>
        </is>
      </c>
      <c r="B27" s="3980" t="n"/>
      <c r="C27" s="3980" t="n"/>
      <c r="D27" s="3980" t="n"/>
      <c r="E27" s="3980" t="n"/>
      <c r="F27" s="3980" t="n"/>
      <c r="G27" s="3981" t="n"/>
      <c r="H27" s="3981" t="n"/>
      <c r="I27" s="3981" t="n"/>
      <c r="J27" s="3981" t="n"/>
      <c r="K27" s="3981" t="n"/>
      <c r="L27" s="3981" t="n"/>
      <c r="M27" s="3981" t="n"/>
      <c r="N27" s="3981" t="n"/>
      <c r="O27" s="3981" t="n"/>
      <c r="P27" s="3981" t="n"/>
      <c r="Q27" s="3981" t="n"/>
      <c r="R27" s="3981" t="n"/>
      <c r="S27" s="3981" t="n"/>
      <c r="T27" s="3981" t="n"/>
      <c r="U27" s="3981" t="n"/>
      <c r="V27" s="3981" t="n"/>
      <c r="W27" s="3981" t="n"/>
      <c r="X27" s="3981" t="n"/>
      <c r="Y27" s="3981" t="n"/>
      <c r="Z27" s="3981" t="n"/>
      <c r="AA27" s="3981" t="n"/>
      <c r="AB27" s="3981" t="n"/>
      <c r="AC27" s="3981" t="n"/>
      <c r="AD27" s="3981" t="n"/>
      <c r="AE27" s="3981" t="n"/>
      <c r="AF27" s="3981" t="n"/>
      <c r="AG27" s="3981" t="n"/>
      <c r="AH27" s="3981" t="n"/>
      <c r="AI27" s="3981" t="n"/>
      <c r="AJ27" s="3981" t="n"/>
      <c r="AK27" s="3981" t="n"/>
      <c r="AL27" s="3981" t="n"/>
      <c r="AM27" s="3981" t="n"/>
      <c r="AN27" s="3981" t="n"/>
      <c r="AO27" s="3981" t="n"/>
      <c r="AP27" s="3981" t="n"/>
      <c r="AQ27" s="3981" t="n"/>
      <c r="AR27" s="3981" t="n"/>
      <c r="AS27" s="3981" t="n"/>
    </row>
    <row r="28">
      <c r="A28" s="3959" t="inlineStr">
        <is>
          <t>Net income tie-out</t>
        </is>
      </c>
      <c r="B28" s="3959" t="n"/>
      <c r="C28" s="3959" t="n"/>
      <c r="D28" s="3959" t="n"/>
      <c r="E28" s="3959" t="n"/>
      <c r="F28" s="3959" t="n"/>
      <c r="G28" s="3961">
        <f>IF(G16="","",G16-(G13+G14+G15))</f>
        <v/>
      </c>
      <c r="H28" s="3961">
        <f>IF(H16="","",H16-(H13+H14+H15))</f>
        <v/>
      </c>
      <c r="I28" s="3961">
        <f>IF(I16="","",I16-(I13+I14+I15))</f>
        <v/>
      </c>
      <c r="J28" s="3961">
        <f>IF(J16="","",J16-(J13+J14+J15))</f>
        <v/>
      </c>
      <c r="K28" s="3961">
        <f>IF(K16="","",K16-(K13+K14+K15))</f>
        <v/>
      </c>
      <c r="L28" s="3961">
        <f>IF(L16="","",L16-(L13+L14+L15))</f>
        <v/>
      </c>
      <c r="M28" s="3961">
        <f>IF(M16="","",M16-(M13+M14+M15))</f>
        <v/>
      </c>
      <c r="N28" s="3961">
        <f>IF(N16="","",N16-(N13+N14+N15))</f>
        <v/>
      </c>
      <c r="O28" s="3961">
        <f>IF(O16="","",O16-(O13+O14+O15))</f>
        <v/>
      </c>
      <c r="P28" s="3961">
        <f>IF(P16="","",P16-(P13+P14+P15))</f>
        <v/>
      </c>
      <c r="Q28" s="3961">
        <f>IF(Q16="","",Q16-(Q13+Q14+Q15))</f>
        <v/>
      </c>
      <c r="R28" s="3961">
        <f>IF(R16="","",R16-(R13+R14+R15))</f>
        <v/>
      </c>
      <c r="S28" s="3961">
        <f>IF(S16="","",S16-(S13+S14+S15))</f>
        <v/>
      </c>
      <c r="T28" s="3961">
        <f>IF(T16="","",T16-(T13+T14+T15))</f>
        <v/>
      </c>
      <c r="U28" s="3961">
        <f>IF(U16="","",U16-(U13+U14+U15))</f>
        <v/>
      </c>
      <c r="V28" s="3961">
        <f>IF(V16="","",V16-(V13+V14+V15))</f>
        <v/>
      </c>
      <c r="W28" s="3961">
        <f>IF(W16="","",W16-(W13+W14+W15))</f>
        <v/>
      </c>
      <c r="X28" s="3961">
        <f>IF(X16="","",X16-(X13+X14+X15))</f>
        <v/>
      </c>
      <c r="Y28" s="3961">
        <f>IF(Y16="","",Y16-(Y13+Y14+Y15))</f>
        <v/>
      </c>
      <c r="Z28" s="3961">
        <f>IF(Z16="","",Z16-(Z13+Z14+Z15))</f>
        <v/>
      </c>
      <c r="AA28" s="3961">
        <f>IF(AA16="","",AA16-(AA13+AA14+AA15))</f>
        <v/>
      </c>
      <c r="AB28" s="3961">
        <f>IF(AB16="","",AB16-(AB13+AB14+AB15))</f>
        <v/>
      </c>
      <c r="AC28" s="3961">
        <f>IF(AC16="","",AC16-(AC13+AC14+AC15))</f>
        <v/>
      </c>
      <c r="AD28" s="3961">
        <f>IF(AD16="","",AD16-(AD13+AD14+AD15))</f>
        <v/>
      </c>
      <c r="AE28" s="3961">
        <f>IF(AE16="","",AE16-(AE13+AE14+AE15))</f>
        <v/>
      </c>
      <c r="AF28" s="3961">
        <f>IF(AF16="","",AF16-(AF13+AF14+AF15))</f>
        <v/>
      </c>
      <c r="AG28" s="3961">
        <f>IF(AG16="","",AG16-(AG13+AG14+AG15))</f>
        <v/>
      </c>
      <c r="AH28" s="3961">
        <f>IF(AH16="","",AH16-(AH13+AH14+AH15))</f>
        <v/>
      </c>
      <c r="AI28" s="3961">
        <f>IF(AI16="","",AI16-(AI13+AI14+AI15))</f>
        <v/>
      </c>
      <c r="AJ28" s="3961">
        <f>IF(AJ16="","",AJ16-(AJ13+AJ14+AJ15))</f>
        <v/>
      </c>
      <c r="AK28" s="3961">
        <f>IF(AK16="","",AK16-(AK13+AK14+AK15))</f>
        <v/>
      </c>
      <c r="AL28" s="3961">
        <f>IF(AL16="","",AL16-(AL13+AL14+AL15))</f>
        <v/>
      </c>
      <c r="AM28" s="3961">
        <f>IF(AM16="","",AM16-(AM13+AM14+AM15))</f>
        <v/>
      </c>
      <c r="AN28" s="3961">
        <f>IF(AN16="","",AN16-(AN13+AN14+AN15))</f>
        <v/>
      </c>
      <c r="AO28" s="3961">
        <f>IF(AO16="","",AO16-(AO13+AO14+AO15))</f>
        <v/>
      </c>
      <c r="AP28" s="3961">
        <f>IF(AP16="","",AP16-(AP13+AP14+AP15))</f>
        <v/>
      </c>
      <c r="AQ28" s="3961">
        <f>IF(AQ16="","",AQ16-(AQ13+AQ14+AQ15))</f>
        <v/>
      </c>
      <c r="AR28" s="3961">
        <f>IF(AR16="","",AR16-(AR13+AR14+AR15))</f>
        <v/>
      </c>
      <c r="AS28" s="3961">
        <f>IF(AS16="","",AS16-(AS13+AS14+AS15))</f>
        <v/>
      </c>
    </row>
    <row r="29">
      <c r="A29" s="3959" t="inlineStr">
        <is>
          <t>EBITDA tie-out</t>
        </is>
      </c>
      <c r="B29" s="3959" t="n"/>
      <c r="C29" s="3959" t="n"/>
      <c r="D29" s="3959" t="n"/>
      <c r="E29" s="3959" t="n"/>
      <c r="F29" s="3959" t="n"/>
      <c r="G29" s="3961">
        <f>IF(G20="","",G20-(G16+G17+G18+G19))</f>
        <v/>
      </c>
      <c r="H29" s="3961">
        <f>IF(H20="","",H20-(H16+H17+H18+H19))</f>
        <v/>
      </c>
      <c r="I29" s="3961">
        <f>IF(I20="","",I20-(I16+I17+I18+I19))</f>
        <v/>
      </c>
      <c r="J29" s="3961">
        <f>IF(J20="","",J20-(J16+J17+J18+J19))</f>
        <v/>
      </c>
      <c r="K29" s="3961">
        <f>IF(K20="","",K20-(K16+K17+K18+K19))</f>
        <v/>
      </c>
      <c r="L29" s="3961">
        <f>IF(L20="","",L20-(L16+L17+L18+L19))</f>
        <v/>
      </c>
      <c r="M29" s="3961">
        <f>IF(M20="","",M20-(M16+M17+M18+M19))</f>
        <v/>
      </c>
      <c r="N29" s="3961">
        <f>IF(N20="","",N20-(N16+N17+N18+N19))</f>
        <v/>
      </c>
      <c r="O29" s="3961">
        <f>IF(O20="","",O20-(O16+O17+O18+O19))</f>
        <v/>
      </c>
      <c r="P29" s="3961">
        <f>IF(P20="","",P20-(P16+P17+P18+P19))</f>
        <v/>
      </c>
      <c r="Q29" s="3961">
        <f>IF(Q20="","",Q20-(Q16+Q17+Q18+Q19))</f>
        <v/>
      </c>
      <c r="R29" s="3961">
        <f>IF(R20="","",R20-(R16+R17+R18+R19))</f>
        <v/>
      </c>
      <c r="S29" s="3961">
        <f>IF(S20="","",S20-(S16+S17+S18+S19))</f>
        <v/>
      </c>
      <c r="T29" s="3961">
        <f>IF(T20="","",T20-(T16+T17+T18+T19))</f>
        <v/>
      </c>
      <c r="U29" s="3961">
        <f>IF(U20="","",U20-(U16+U17+U18+U19))</f>
        <v/>
      </c>
      <c r="V29" s="3961">
        <f>IF(V20="","",V20-(V16+V17+V18+V19))</f>
        <v/>
      </c>
      <c r="W29" s="3961">
        <f>IF(W20="","",W20-(W16+W17+W18+W19))</f>
        <v/>
      </c>
      <c r="X29" s="3961">
        <f>IF(X20="","",X20-(X16+X17+X18+X19))</f>
        <v/>
      </c>
      <c r="Y29" s="3961">
        <f>IF(Y20="","",Y20-(Y16+Y17+Y18+Y19))</f>
        <v/>
      </c>
      <c r="Z29" s="3961">
        <f>IF(Z20="","",Z20-(Z16+Z17+Z18+Z19))</f>
        <v/>
      </c>
      <c r="AA29" s="3961">
        <f>IF(AA20="","",AA20-(AA16+AA17+AA18+AA19))</f>
        <v/>
      </c>
      <c r="AB29" s="3961">
        <f>IF(AB20="","",AB20-(AB16+AB17+AB18+AB19))</f>
        <v/>
      </c>
      <c r="AC29" s="3961">
        <f>IF(AC20="","",AC20-(AC16+AC17+AC18+AC19))</f>
        <v/>
      </c>
      <c r="AD29" s="3961">
        <f>IF(AD20="","",AD20-(AD16+AD17+AD18+AD19))</f>
        <v/>
      </c>
      <c r="AE29" s="3961">
        <f>IF(AE20="","",AE20-(AE16+AE17+AE18+AE19))</f>
        <v/>
      </c>
      <c r="AF29" s="3961">
        <f>IF(AF20="","",AF20-(AF16+AF17+AF18+AF19))</f>
        <v/>
      </c>
      <c r="AG29" s="3961">
        <f>IF(AG20="","",AG20-(AG16+AG17+AG18+AG19))</f>
        <v/>
      </c>
      <c r="AH29" s="3961">
        <f>IF(AH20="","",AH20-(AH16+AH17+AH18+AH19))</f>
        <v/>
      </c>
      <c r="AI29" s="3961">
        <f>IF(AI20="","",AI20-(AI16+AI17+AI18+AI19))</f>
        <v/>
      </c>
      <c r="AJ29" s="3961">
        <f>IF(AJ20="","",AJ20-(AJ16+AJ17+AJ18+AJ19))</f>
        <v/>
      </c>
      <c r="AK29" s="3961">
        <f>IF(AK20="","",AK20-(AK16+AK17+AK18+AK19))</f>
        <v/>
      </c>
      <c r="AL29" s="3961">
        <f>IF(AL20="","",AL20-(AL16+AL17+AL18+AL19))</f>
        <v/>
      </c>
      <c r="AM29" s="3961">
        <f>IF(AM20="","",AM20-(AM16+AM17+AM18+AM19))</f>
        <v/>
      </c>
      <c r="AN29" s="3961">
        <f>IF(AN20="","",AN20-(AN16+AN17+AN18+AN19))</f>
        <v/>
      </c>
      <c r="AO29" s="3961">
        <f>IF(AO20="","",AO20-(AO16+AO17+AO18+AO19))</f>
        <v/>
      </c>
      <c r="AP29" s="3961">
        <f>IF(AP20="","",AP20-(AP16+AP17+AP18+AP19))</f>
        <v/>
      </c>
      <c r="AQ29" s="3961">
        <f>IF(AQ20="","",AQ20-(AQ16+AQ17+AQ18+AQ19))</f>
        <v/>
      </c>
      <c r="AR29" s="3961">
        <f>IF(AR20="","",AR20-(AR16+AR17+AR18+AR19))</f>
        <v/>
      </c>
      <c r="AS29" s="3961">
        <f>IF(AS20="","",AS20-(AS16+AS17+AS18+AS19))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2026-02-19T20:53:38Z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