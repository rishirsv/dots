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utoFilterDateGrouping="1"/>
  </bookViews>
  <sheets>
    <sheet name="Stratified B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EXPORT31_1_380456678984.724335_458429731.190364" localSheetId="0" hidden="1">'Stratified BS'!$C$7:$N$177</definedName>
    <definedName name="_EXPORT31_1_6336461708171.217096_461730567.139873" localSheetId="0" hidden="1">'Stratified BS'!$C$7:$R$187</definedName>
    <definedName name="_EXPORT31_1_6649461952296.870365_461952296.870365" localSheetId="0" hidden="1">'Stratified BS'!$C$7:$R$185</definedName>
    <definedName name="_EXPORT31_1_8310456587140.094589_456678973.906605" localSheetId="0" hidden="1">'Stratified BS'!$C$7:$N$177</definedName>
    <definedName name="_EXPORT31_1_8595459458523.465223_461534957.561634" localSheetId="0" hidden="1">'Stratified BS'!$C$7:$R$177</definedName>
    <definedName name="_UpSlideHiddenState6640455886493.377921_370f0aed091d42f18c86390192e6abdc" localSheetId="0">'Stratified BS'!$C$11:$N$15,'Stratified BS'!$C$17:$N$25,'Stratified BS'!$C$27:$N$36,'Stratified BS'!$C$38:$N$40,'Stratified BS'!$C$42:$N$48,'Stratified BS'!$C$50:$N$50,'Stratified BS'!$C$53:$N$93,'Stratified BS'!$C$97:$N$115,'Stratified BS'!$C$117:$N$125,'Stratified BS'!$C$127:$N$127,'Stratified BS'!$C$129:$N$130,'Stratified BS'!$C$132:$N$150,'Stratified BS'!$C$152:$N$153,'Stratified BS'!$C$155:$N$155,'Stratified BS'!$C$157:$N$157,'Stratified BS'!$C$159:$N$160,'Stratified BS'!$C$163:$N$163,'Stratified BS'!$C$166:$N$166,'Stratified BS'!$C$168:$N$169,'Stratified BS'!$C$171:$N$171,'Stratified BS'!$C$173:$N$173,'Stratified BS'!$D$7:$E$177</definedName>
    <definedName name="_UpSlideHiddenState6640455886493.377921_9a5d68461dd94f29b06d73aa74b9c723" localSheetId="0">'Stratified BS'!$C$11:$N$15,'Stratified BS'!$C$17:$N$25,'Stratified BS'!$C$27:$N$36,'Stratified BS'!$C$38:$N$40,'Stratified BS'!$C$42:$N$48,'Stratified BS'!$C$50:$N$50,'Stratified BS'!$C$53:$N$93,'Stratified BS'!$C$97:$N$115,'Stratified BS'!$C$117:$N$125,'Stratified BS'!$C$127:$N$127,'Stratified BS'!$C$129:$N$130,'Stratified BS'!$C$132:$N$150,'Stratified BS'!$C$152:$N$153,'Stratified BS'!$C$155:$N$155,'Stratified BS'!$C$157:$N$157,'Stratified BS'!$C$159:$N$160,'Stratified BS'!$C$163:$N$163,'Stratified BS'!$C$166:$N$166,'Stratified BS'!$C$168:$N$169,'Stratified BS'!$C$171:$N$171,'Stratified BS'!$C$173:$N$173,'Stratified BS'!$D$7:$E$177</definedName>
  </definedNames>
  <calcPr calcId="191028" fullCalcOnLoad="1"/>
</workbook>
</file>

<file path=xl/styles.xml><?xml version="1.0" encoding="utf-8"?>
<styleSheet xmlns="http://schemas.openxmlformats.org/spreadsheetml/2006/main">
  <numFmts count="38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_-* #,##0.00_-;\-* #,##0.00_-;_-* &quot;-&quot;??_-;_-@_-"/>
  </numFmts>
  <fonts count="19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</fonts>
  <fills count="25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</fills>
  <borders count="124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1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692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4">
    <outlinePr summaryBelow="1" summaryRight="1"/>
    <pageSetUpPr/>
  </sheetPr>
  <dimension ref="A1:W207"/>
  <sheetViews>
    <sheetView showGridLines="0" zoomScale="145" zoomScaleNormal="145" workbookViewId="0">
      <pane xSplit="5" ySplit="9" topLeftCell="F126" activePane="bottomRight" state="frozen"/>
      <selection pane="topRight" activeCell="A1" sqref="A1"/>
      <selection pane="bottomLeft" activeCell="A1" sqref="A1"/>
      <selection pane="bottomRight" activeCell="G174" sqref="G174"/>
    </sheetView>
  </sheetViews>
  <sheetFormatPr baseColWidth="10" defaultColWidth="8.5" defaultRowHeight="12" customHeight="1" outlineLevelRow="3"/>
  <cols>
    <col width="3.5" customWidth="1" style="320" min="1" max="1"/>
    <col width="1.5" customWidth="1" style="89" min="2" max="2"/>
    <col width="30.83203125" bestFit="1" customWidth="1" style="1" min="3" max="3"/>
    <col hidden="1" outlineLevel="1" width="7.6640625" customWidth="1" style="6" min="4" max="5"/>
    <col collapsed="1" width="8.5" bestFit="1" customWidth="1" style="1" min="6" max="6"/>
    <col width="8.5" bestFit="1" customWidth="1" style="1" min="7" max="8"/>
    <col hidden="1" outlineLevel="1" width="8.5" customWidth="1" style="1" min="9" max="9"/>
    <col collapsed="1" width="8.5" bestFit="1" customWidth="1" style="1" min="10" max="10"/>
    <col hidden="1" outlineLevel="1" width="7.6640625" customWidth="1" style="1" min="11" max="14"/>
    <col collapsed="1" width="7.6640625" customWidth="1" style="1" min="15" max="15"/>
    <col width="7.6640625" customWidth="1" style="1" min="16" max="18"/>
    <col width="1.5" customWidth="1" style="1" min="19" max="19"/>
    <col hidden="1" outlineLevel="1" width="6" customWidth="1" style="3" min="20" max="21"/>
    <col collapsed="1" width="8.5" customWidth="1" style="1" min="22" max="22"/>
    <col width="8.5" customWidth="1" style="1" min="23" max="16384"/>
  </cols>
  <sheetData>
    <row r="1" ht="23" customHeight="1">
      <c r="A1" s="344" t="n"/>
      <c r="B1" s="345" t="inlineStr">
        <is>
          <t>Project North</t>
        </is>
      </c>
      <c r="D1" s="1" t="n"/>
      <c r="E1" s="1" t="n"/>
    </row>
    <row r="2">
      <c r="A2" s="1605" t="n"/>
      <c r="B2" s="347">
        <f>C7</f>
        <v/>
      </c>
      <c r="D2" s="1" t="n"/>
      <c r="E2" s="1" t="n"/>
    </row>
    <row r="3" ht="11" customHeight="1">
      <c r="A3" s="1605" t="n"/>
      <c r="B3" s="348" t="inlineStr">
        <is>
          <t>Source:Everlink Balance Sheet 13 month trend (2021),Everlink Balance Sheet 13 month trend (2022),Everlink Balance Sheet 13 month trend (2023),Everlink Balance Sheet 13 month trend (to April 2024)</t>
        </is>
      </c>
      <c r="D3" s="1" t="n"/>
      <c r="E3" s="1" t="n"/>
    </row>
    <row r="4" ht="11" customHeight="1">
      <c r="A4" s="1605" t="n"/>
      <c r="B4" s="59" t="inlineStr">
        <is>
          <t>WORKING DRAFT</t>
        </is>
      </c>
      <c r="D4" s="1" t="n"/>
      <c r="E4" s="1" t="n"/>
    </row>
    <row r="5" ht="9.75" customHeight="1">
      <c r="A5" s="1683" t="n"/>
      <c r="B5" s="59" t="n"/>
    </row>
    <row r="6" ht="9.75" customHeight="1">
      <c r="A6" s="1683" t="n"/>
      <c r="B6" s="59" t="n"/>
      <c r="C6" s="321" t="n"/>
    </row>
    <row r="7" ht="19.5" customHeight="1">
      <c r="A7" s="1683" t="n"/>
      <c r="B7" s="59" t="n"/>
      <c r="C7" s="2216" t="inlineStr">
        <is>
          <t>Stratified balance sheet</t>
        </is>
      </c>
      <c r="D7" s="2216" t="n"/>
      <c r="E7" s="2216" t="n"/>
      <c r="F7" s="2216" t="n"/>
      <c r="G7" s="2216" t="n"/>
      <c r="H7" s="2216" t="n"/>
      <c r="I7" s="2216" t="n"/>
      <c r="J7" s="2216" t="n"/>
      <c r="K7" s="2216" t="n"/>
      <c r="L7" s="2216" t="n"/>
      <c r="M7" s="2216" t="n"/>
      <c r="N7" s="2216" t="n"/>
      <c r="O7" s="2216" t="n"/>
      <c r="P7" s="2216" t="n"/>
      <c r="Q7" s="2216" t="n"/>
      <c r="R7" s="2216" t="n"/>
    </row>
    <row r="8" ht="12" customHeight="1">
      <c r="A8" s="1683" t="n"/>
      <c r="B8" s="59" t="n"/>
      <c r="C8" s="324" t="n"/>
      <c r="D8" s="324" t="n"/>
      <c r="E8" s="324" t="n"/>
      <c r="F8" s="561" t="inlineStr">
        <is>
          <t>As at</t>
        </is>
      </c>
      <c r="G8" s="561" t="n"/>
      <c r="H8" s="561" t="n"/>
      <c r="I8" s="561" t="n"/>
      <c r="J8" s="2718" t="n"/>
      <c r="K8" s="562" t="inlineStr">
        <is>
          <t>Stratification as at 30-Apr-24</t>
        </is>
      </c>
      <c r="L8" s="562" t="n"/>
      <c r="M8" s="562" t="n"/>
      <c r="N8" s="3211" t="n"/>
      <c r="O8" s="562" t="inlineStr">
        <is>
          <t>Stratification as at 30-Jun-24</t>
        </is>
      </c>
      <c r="P8" s="562" t="n"/>
      <c r="Q8" s="562" t="n"/>
      <c r="R8" s="416" t="n"/>
    </row>
    <row r="9" ht="11" customHeight="1">
      <c r="A9" s="1683" t="n"/>
      <c r="B9" s="61" t="n"/>
      <c r="C9" s="324" t="inlineStr">
        <is>
          <t>$'000</t>
        </is>
      </c>
      <c r="D9" s="324" t="inlineStr">
        <is>
          <t>Code</t>
        </is>
      </c>
      <c r="E9" s="324" t="inlineStr">
        <is>
          <t>Concatenate</t>
        </is>
      </c>
      <c r="F9" s="3687">
        <f>'Balance sheet'!AV9</f>
        <v/>
      </c>
      <c r="G9" s="3688">
        <f>'Balance sheet'!AW9</f>
        <v/>
      </c>
      <c r="H9" s="3689">
        <f>'Balance sheet'!AX9</f>
        <v/>
      </c>
      <c r="I9" s="3689">
        <f>'Balance sheet'!AY9</f>
        <v/>
      </c>
      <c r="J9" s="3690">
        <f>'Balance sheet'!AZ9</f>
        <v/>
      </c>
      <c r="K9" s="563" t="inlineStr">
        <is>
          <t>NWC</t>
        </is>
      </c>
      <c r="L9" s="564" t="inlineStr">
        <is>
          <t>PPE</t>
        </is>
      </c>
      <c r="M9" s="3405" t="inlineStr">
        <is>
          <t>Net debt</t>
        </is>
      </c>
      <c r="N9" s="3212" t="inlineStr">
        <is>
          <t>Others</t>
        </is>
      </c>
      <c r="O9" s="563" t="inlineStr">
        <is>
          <t>NWC</t>
        </is>
      </c>
      <c r="P9" s="564" t="inlineStr">
        <is>
          <t>PPE</t>
        </is>
      </c>
      <c r="Q9" s="3405" t="inlineStr">
        <is>
          <t>Net cash</t>
        </is>
      </c>
      <c r="R9" s="2266" t="inlineStr">
        <is>
          <t>Others</t>
        </is>
      </c>
      <c r="T9" s="3" t="inlineStr">
        <is>
          <t>Check</t>
        </is>
      </c>
      <c r="U9" s="3" t="inlineStr">
        <is>
          <t>Check</t>
        </is>
      </c>
    </row>
    <row r="10" ht="12" customHeight="1">
      <c r="A10" s="1683" t="n"/>
      <c r="B10" s="61" t="n"/>
      <c r="C10" s="411" t="inlineStr">
        <is>
          <t>Assets</t>
        </is>
      </c>
      <c r="J10" s="400" t="n"/>
      <c r="N10" s="400" t="n"/>
      <c r="T10" s="3">
        <f>I10-SUM(K10:N10)</f>
        <v/>
      </c>
      <c r="U10" s="3">
        <f>J10-SUM(O10:R10)</f>
        <v/>
      </c>
    </row>
    <row r="11" hidden="1" outlineLevel="2" ht="12" customHeight="1">
      <c r="A11" s="1683" t="n"/>
      <c r="B11" s="61" t="n"/>
      <c r="C11" s="395" t="inlineStr">
        <is>
          <t>Cash-CAD - CUCA operating</t>
        </is>
      </c>
      <c r="D11" s="6" t="n">
        <v>100210</v>
      </c>
      <c r="E11" s="6" t="inlineStr">
        <is>
          <t>100210 - Cash-CAD - CUCA Operating</t>
        </is>
      </c>
      <c r="F11" s="2">
        <f>'Balance sheet'!AV11</f>
        <v/>
      </c>
      <c r="G11" s="2">
        <f>'Balance sheet'!AW11</f>
        <v/>
      </c>
      <c r="H11" s="2">
        <f>'Balance sheet'!AX11</f>
        <v/>
      </c>
      <c r="I11" s="2">
        <f>'Balance sheet'!AY11</f>
        <v/>
      </c>
      <c r="J11" s="406">
        <f>'Balance sheet'!AZ11</f>
        <v/>
      </c>
      <c r="K11" s="2" t="n">
        <v>0</v>
      </c>
      <c r="L11" s="2" t="n">
        <v>0</v>
      </c>
      <c r="M11" s="2">
        <f>I11</f>
        <v/>
      </c>
      <c r="N11" s="406" t="n">
        <v>0</v>
      </c>
      <c r="O11" s="2" t="n">
        <v>0</v>
      </c>
      <c r="P11" s="2" t="n">
        <v>0</v>
      </c>
      <c r="Q11" s="2">
        <f>J11</f>
        <v/>
      </c>
      <c r="R11" s="2" t="n">
        <v>0</v>
      </c>
      <c r="S11" s="2" t="n"/>
      <c r="T11" s="593">
        <f>I11-SUM(K11:N11)</f>
        <v/>
      </c>
      <c r="U11" s="593">
        <f>J11-SUM(O11:R11)</f>
        <v/>
      </c>
    </row>
    <row r="12" hidden="1" outlineLevel="2" ht="12" customHeight="1">
      <c r="A12" s="1683" t="n"/>
      <c r="B12" s="59" t="n"/>
      <c r="C12" s="395" t="inlineStr">
        <is>
          <t>Cash -desjardins operating CAD</t>
        </is>
      </c>
      <c r="D12" s="6" t="n">
        <v>100215</v>
      </c>
      <c r="E12" s="6" t="inlineStr">
        <is>
          <t>100215 - CASH -Desjardins Operating CAD</t>
        </is>
      </c>
      <c r="F12" s="2">
        <f>'Balance sheet'!AV12</f>
        <v/>
      </c>
      <c r="G12" s="2">
        <f>'Balance sheet'!AW12</f>
        <v/>
      </c>
      <c r="H12" s="2">
        <f>'Balance sheet'!AX12</f>
        <v/>
      </c>
      <c r="I12" s="2">
        <f>'Balance sheet'!AY12</f>
        <v/>
      </c>
      <c r="J12" s="406">
        <f>'Balance sheet'!AZ12</f>
        <v/>
      </c>
      <c r="K12" s="2" t="n">
        <v>0</v>
      </c>
      <c r="L12" s="2" t="n">
        <v>0</v>
      </c>
      <c r="M12" s="2">
        <f>I12</f>
        <v/>
      </c>
      <c r="N12" s="406" t="n">
        <v>0</v>
      </c>
      <c r="O12" s="2" t="n">
        <v>0</v>
      </c>
      <c r="P12" s="2" t="n">
        <v>0</v>
      </c>
      <c r="Q12" s="2">
        <f>J12</f>
        <v/>
      </c>
      <c r="R12" s="2" t="n">
        <v>0</v>
      </c>
      <c r="T12" s="593">
        <f>I12-SUM(K12:N12)</f>
        <v/>
      </c>
      <c r="U12" s="593">
        <f>J12-SUM(O12:R12)</f>
        <v/>
      </c>
    </row>
    <row r="13" hidden="1" outlineLevel="2" ht="12" customHeight="1">
      <c r="A13" s="1683" t="n"/>
      <c r="B13" s="61" t="n"/>
      <c r="C13" s="395" t="inlineStr">
        <is>
          <t>Cash USD - CUCA 079</t>
        </is>
      </c>
      <c r="D13" s="6" t="n">
        <v>100416</v>
      </c>
      <c r="E13" s="6" t="inlineStr">
        <is>
          <t>100416 - Cash USD - CUCA 079</t>
        </is>
      </c>
      <c r="F13" s="2">
        <f>'Balance sheet'!AV13</f>
        <v/>
      </c>
      <c r="G13" s="2">
        <f>'Balance sheet'!AW13</f>
        <v/>
      </c>
      <c r="H13" s="2">
        <f>'Balance sheet'!AX13</f>
        <v/>
      </c>
      <c r="I13" s="2">
        <f>'Balance sheet'!AY13</f>
        <v/>
      </c>
      <c r="J13" s="406">
        <f>'Balance sheet'!AZ13</f>
        <v/>
      </c>
      <c r="K13" s="2" t="n">
        <v>0</v>
      </c>
      <c r="L13" s="2" t="n">
        <v>0</v>
      </c>
      <c r="M13" s="2">
        <f>I13</f>
        <v/>
      </c>
      <c r="N13" s="406" t="n">
        <v>0</v>
      </c>
      <c r="O13" s="2" t="n">
        <v>0</v>
      </c>
      <c r="P13" s="2" t="n">
        <v>0</v>
      </c>
      <c r="Q13" s="2">
        <f>J13</f>
        <v/>
      </c>
      <c r="R13" s="2" t="n">
        <v>0</v>
      </c>
      <c r="T13" s="593">
        <f>I13-SUM(K13:N13)</f>
        <v/>
      </c>
      <c r="U13" s="593">
        <f>J13-SUM(O13:R13)</f>
        <v/>
      </c>
    </row>
    <row r="14" hidden="1" outlineLevel="2" ht="12" customHeight="1">
      <c r="A14" s="1683" t="n"/>
      <c r="B14" s="61" t="n"/>
      <c r="C14" s="395" t="inlineStr">
        <is>
          <t>Cash USD - BMO harris 137</t>
        </is>
      </c>
      <c r="D14" s="6" t="n">
        <v>100417</v>
      </c>
      <c r="E14" s="6" t="inlineStr">
        <is>
          <t>100417 - Cash USD - BMO Harris 137</t>
        </is>
      </c>
      <c r="F14" s="2">
        <f>'Balance sheet'!AV14</f>
        <v/>
      </c>
      <c r="G14" s="2">
        <f>'Balance sheet'!AW14</f>
        <v/>
      </c>
      <c r="H14" s="2">
        <f>'Balance sheet'!AX14</f>
        <v/>
      </c>
      <c r="I14" s="2">
        <f>'Balance sheet'!AY14</f>
        <v/>
      </c>
      <c r="J14" s="406">
        <f>'Balance sheet'!AZ14</f>
        <v/>
      </c>
      <c r="K14" s="2" t="n">
        <v>0</v>
      </c>
      <c r="L14" s="2" t="n">
        <v>0</v>
      </c>
      <c r="M14" s="2">
        <f>I14</f>
        <v/>
      </c>
      <c r="N14" s="406" t="n">
        <v>0</v>
      </c>
      <c r="O14" s="2" t="n">
        <v>0</v>
      </c>
      <c r="P14" s="2" t="n">
        <v>0</v>
      </c>
      <c r="Q14" s="2">
        <f>J14</f>
        <v/>
      </c>
      <c r="R14" s="2" t="n">
        <v>0</v>
      </c>
      <c r="T14" s="593">
        <f>I14-SUM(K14:N14)</f>
        <v/>
      </c>
      <c r="U14" s="593">
        <f>J14-SUM(O14:R14)</f>
        <v/>
      </c>
    </row>
    <row r="15" hidden="1" outlineLevel="2" ht="12" customHeight="1">
      <c r="A15" s="1683" t="n"/>
      <c r="B15" s="62" t="n"/>
      <c r="C15" s="336" t="inlineStr">
        <is>
          <t>Cash CAD - CUCA 095</t>
        </is>
      </c>
      <c r="D15" s="393" t="n">
        <v>100211</v>
      </c>
      <c r="E15" s="393" t="inlineStr">
        <is>
          <t>100211 - Cash CAD - CUCA 095</t>
        </is>
      </c>
      <c r="F15" s="402">
        <f>'Balance sheet'!AV15</f>
        <v/>
      </c>
      <c r="G15" s="402">
        <f>'Balance sheet'!AW15</f>
        <v/>
      </c>
      <c r="H15" s="402">
        <f>'Balance sheet'!AX15</f>
        <v/>
      </c>
      <c r="I15" s="402">
        <f>'Balance sheet'!AY15</f>
        <v/>
      </c>
      <c r="J15" s="407">
        <f>'Balance sheet'!AZ15</f>
        <v/>
      </c>
      <c r="K15" s="402" t="n">
        <v>0</v>
      </c>
      <c r="L15" s="402" t="n">
        <v>0</v>
      </c>
      <c r="M15" s="402">
        <f>I15</f>
        <v/>
      </c>
      <c r="N15" s="407" t="n">
        <v>0</v>
      </c>
      <c r="O15" s="402" t="n">
        <v>0</v>
      </c>
      <c r="P15" s="402" t="n">
        <v>0</v>
      </c>
      <c r="Q15" s="402">
        <f>J15</f>
        <v/>
      </c>
      <c r="R15" s="402" t="n">
        <v>0</v>
      </c>
      <c r="T15" s="593">
        <f>I15-SUM(K15:N15)</f>
        <v/>
      </c>
      <c r="U15" s="593">
        <f>J15-SUM(O15:R15)</f>
        <v/>
      </c>
    </row>
    <row r="16" hidden="1" outlineLevel="1" collapsed="1" ht="12" customHeight="1">
      <c r="A16" s="1683" t="n"/>
      <c r="B16" s="1527" t="n"/>
      <c r="C16" s="396" t="inlineStr">
        <is>
          <t xml:space="preserve">Cash and cash equivalents </t>
        </is>
      </c>
      <c r="F16" s="2">
        <f>SUM(F11:F15)</f>
        <v/>
      </c>
      <c r="G16" s="2">
        <f>SUM(G11:G15)</f>
        <v/>
      </c>
      <c r="H16" s="2">
        <f>SUM(H11:H15)</f>
        <v/>
      </c>
      <c r="I16" s="2">
        <f>SUM(I11:I15)</f>
        <v/>
      </c>
      <c r="J16" s="406">
        <f>SUM(J11:J15)</f>
        <v/>
      </c>
      <c r="K16" s="2">
        <f>SUM(K11:K15)</f>
        <v/>
      </c>
      <c r="L16" s="2">
        <f>SUM(L11:L15)</f>
        <v/>
      </c>
      <c r="M16" s="2">
        <f>SUM(M11:M15)</f>
        <v/>
      </c>
      <c r="N16" s="406">
        <f>SUM(N11:N15)</f>
        <v/>
      </c>
      <c r="O16" s="2">
        <f>SUM(O11:O15)</f>
        <v/>
      </c>
      <c r="P16" s="2">
        <f>SUM(P11:P15)</f>
        <v/>
      </c>
      <c r="Q16" s="2">
        <f>SUM(Q11:Q15)</f>
        <v/>
      </c>
      <c r="R16" s="2">
        <f>SUM(R11:R15)</f>
        <v/>
      </c>
      <c r="T16" s="593">
        <f>I16-SUM(K16:N16)</f>
        <v/>
      </c>
      <c r="U16" s="593">
        <f>J16-SUM(O16:R16)</f>
        <v/>
      </c>
    </row>
    <row r="17" hidden="1" outlineLevel="2" ht="12" customHeight="1">
      <c r="A17" s="1683" t="n"/>
      <c r="B17" s="62" t="n"/>
      <c r="C17" s="395" t="inlineStr">
        <is>
          <t>Cash settlement - pos desjardin 147</t>
        </is>
      </c>
      <c r="D17" s="6" t="n">
        <v>100370</v>
      </c>
      <c r="E17" s="6" t="inlineStr">
        <is>
          <t>100370 - Cash Settlement - POS Desjardin 147</t>
        </is>
      </c>
      <c r="F17" s="2">
        <f>'Balance sheet'!AV17</f>
        <v/>
      </c>
      <c r="G17" s="2">
        <f>'Balance sheet'!AW17</f>
        <v/>
      </c>
      <c r="H17" s="2">
        <f>'Balance sheet'!AX17</f>
        <v/>
      </c>
      <c r="I17" s="2">
        <f>'Balance sheet'!AY17</f>
        <v/>
      </c>
      <c r="J17" s="406">
        <f>'Balance sheet'!AZ17</f>
        <v/>
      </c>
      <c r="K17" s="2">
        <f>I17</f>
        <v/>
      </c>
      <c r="L17" s="2" t="n">
        <v>0</v>
      </c>
      <c r="M17" s="2" t="n">
        <v>0</v>
      </c>
      <c r="N17" s="406" t="n">
        <v>0</v>
      </c>
      <c r="O17" s="2">
        <f>J17</f>
        <v/>
      </c>
      <c r="P17" s="2" t="n">
        <v>0</v>
      </c>
      <c r="Q17" s="2" t="n">
        <v>0</v>
      </c>
      <c r="R17" s="2" t="n">
        <v>0</v>
      </c>
      <c r="T17" s="593">
        <f>I17-SUM(K17:N17)</f>
        <v/>
      </c>
      <c r="U17" s="593">
        <f>J17-SUM(O17:R17)</f>
        <v/>
      </c>
    </row>
    <row r="18" hidden="1" outlineLevel="2" ht="12" customHeight="1">
      <c r="A18" s="1683" t="n"/>
      <c r="B18" s="62" t="n"/>
      <c r="C18" s="395" t="inlineStr">
        <is>
          <t>Cash settlement scd desjardin 139</t>
        </is>
      </c>
      <c r="D18" s="6" t="n">
        <v>100488</v>
      </c>
      <c r="E18" s="6" t="inlineStr">
        <is>
          <t>100488 - Cash Settlement SCD Desjardin 139</t>
        </is>
      </c>
      <c r="F18" s="2">
        <f>'Balance sheet'!AV18</f>
        <v/>
      </c>
      <c r="G18" s="2">
        <f>'Balance sheet'!AW18</f>
        <v/>
      </c>
      <c r="H18" s="2">
        <f>'Balance sheet'!AX18</f>
        <v/>
      </c>
      <c r="I18" s="2">
        <f>'Balance sheet'!AY18</f>
        <v/>
      </c>
      <c r="J18" s="406">
        <f>'Balance sheet'!AZ18</f>
        <v/>
      </c>
      <c r="K18" s="2">
        <f>I18</f>
        <v/>
      </c>
      <c r="L18" s="2" t="n">
        <v>0</v>
      </c>
      <c r="M18" s="2" t="n">
        <v>0</v>
      </c>
      <c r="N18" s="406" t="n">
        <v>0</v>
      </c>
      <c r="O18" s="2">
        <f>J18</f>
        <v/>
      </c>
      <c r="P18" s="2" t="n">
        <v>0</v>
      </c>
      <c r="Q18" s="2" t="n">
        <v>0</v>
      </c>
      <c r="R18" s="2" t="n">
        <v>0</v>
      </c>
      <c r="T18" s="593">
        <f>I18-SUM(K18:N18)</f>
        <v/>
      </c>
      <c r="U18" s="593">
        <f>J18-SUM(O18:R18)</f>
        <v/>
      </c>
    </row>
    <row r="19" hidden="1" outlineLevel="2" ht="12" customHeight="1">
      <c r="A19" s="1683" t="n"/>
      <c r="B19" s="62" t="n"/>
      <c r="C19" s="395" t="inlineStr">
        <is>
          <t>Icici bank settlement CAD6932- for visa debit</t>
        </is>
      </c>
      <c r="D19" s="6" t="n">
        <v>100350</v>
      </c>
      <c r="E19" s="6" t="inlineStr">
        <is>
          <t>100350 - ICICI Bank Settlement CAD6932- For Visa Debit</t>
        </is>
      </c>
      <c r="F19" s="2">
        <f>'Balance sheet'!AV19</f>
        <v/>
      </c>
      <c r="G19" s="2">
        <f>'Balance sheet'!AW19</f>
        <v/>
      </c>
      <c r="H19" s="2">
        <f>'Balance sheet'!AX19</f>
        <v/>
      </c>
      <c r="I19" s="2">
        <f>'Balance sheet'!AY19</f>
        <v/>
      </c>
      <c r="J19" s="406">
        <f>'Balance sheet'!AZ19</f>
        <v/>
      </c>
      <c r="K19" s="2">
        <f>I19</f>
        <v/>
      </c>
      <c r="L19" s="2" t="n">
        <v>0</v>
      </c>
      <c r="M19" s="2" t="n">
        <v>0</v>
      </c>
      <c r="N19" s="406" t="n">
        <v>0</v>
      </c>
      <c r="O19" s="2">
        <f>J19</f>
        <v/>
      </c>
      <c r="P19" s="2" t="n">
        <v>0</v>
      </c>
      <c r="Q19" s="2" t="n">
        <v>0</v>
      </c>
      <c r="R19" s="2" t="n">
        <v>0</v>
      </c>
      <c r="T19" s="593">
        <f>I19-SUM(K19:N19)</f>
        <v/>
      </c>
      <c r="U19" s="593">
        <f>J19-SUM(O19:R19)</f>
        <v/>
      </c>
    </row>
    <row r="20" hidden="1" outlineLevel="2" ht="12" customHeight="1">
      <c r="A20" s="1683" t="n"/>
      <c r="B20" s="62" t="n"/>
      <c r="C20" s="395" t="inlineStr">
        <is>
          <t>Cash settlement e-transfer desj suspense 067</t>
        </is>
      </c>
      <c r="D20" s="6" t="n">
        <v>100367</v>
      </c>
      <c r="E20" s="6" t="inlineStr">
        <is>
          <t>100367 - Cash Settlement E-Transfer Desj Suspense 067</t>
        </is>
      </c>
      <c r="F20" s="2">
        <f>'Balance sheet'!AV20</f>
        <v/>
      </c>
      <c r="G20" s="2">
        <f>'Balance sheet'!AW20</f>
        <v/>
      </c>
      <c r="H20" s="2">
        <f>'Balance sheet'!AX20</f>
        <v/>
      </c>
      <c r="I20" s="2">
        <f>'Balance sheet'!AY20</f>
        <v/>
      </c>
      <c r="J20" s="406">
        <f>'Balance sheet'!AZ20</f>
        <v/>
      </c>
      <c r="K20" s="2">
        <f>I20</f>
        <v/>
      </c>
      <c r="L20" s="2" t="n">
        <v>0</v>
      </c>
      <c r="M20" s="2" t="n">
        <v>0</v>
      </c>
      <c r="N20" s="406" t="n">
        <v>0</v>
      </c>
      <c r="O20" s="2">
        <f>J20</f>
        <v/>
      </c>
      <c r="P20" s="2" t="n">
        <v>0</v>
      </c>
      <c r="Q20" s="2" t="n">
        <v>0</v>
      </c>
      <c r="R20" s="2" t="n">
        <v>0</v>
      </c>
      <c r="T20" s="593">
        <f>I20-SUM(K20:N20)</f>
        <v/>
      </c>
      <c r="U20" s="593">
        <f>J20-SUM(O20:R20)</f>
        <v/>
      </c>
    </row>
    <row r="21" hidden="1" outlineLevel="2" ht="12" customHeight="1">
      <c r="A21" s="1683" t="n"/>
      <c r="B21" s="62" t="n"/>
      <c r="C21" s="395" t="inlineStr">
        <is>
          <t>Cash settlement CUCA 178</t>
        </is>
      </c>
      <c r="D21" s="6" t="n">
        <v>100489</v>
      </c>
      <c r="E21" s="6" t="inlineStr">
        <is>
          <t>100489 - Cash Settlement CUCA 178</t>
        </is>
      </c>
      <c r="F21" s="2">
        <f>'Balance sheet'!AV21</f>
        <v/>
      </c>
      <c r="G21" s="2">
        <f>'Balance sheet'!AW21</f>
        <v/>
      </c>
      <c r="H21" s="2">
        <f>'Balance sheet'!AX21</f>
        <v/>
      </c>
      <c r="I21" s="2">
        <f>'Balance sheet'!AY21</f>
        <v/>
      </c>
      <c r="J21" s="406">
        <f>'Balance sheet'!AZ21</f>
        <v/>
      </c>
      <c r="K21" s="2">
        <f>I21</f>
        <v/>
      </c>
      <c r="L21" s="2" t="n">
        <v>0</v>
      </c>
      <c r="M21" s="2" t="n">
        <v>0</v>
      </c>
      <c r="N21" s="406" t="n">
        <v>0</v>
      </c>
      <c r="O21" s="2">
        <f>J21</f>
        <v/>
      </c>
      <c r="P21" s="2" t="n">
        <v>0</v>
      </c>
      <c r="Q21" s="2" t="n">
        <v>0</v>
      </c>
      <c r="R21" s="2" t="n">
        <v>0</v>
      </c>
      <c r="T21" s="593">
        <f>I21-SUM(K21:N21)</f>
        <v/>
      </c>
      <c r="U21" s="593">
        <f>J21-SUM(O21:R21)</f>
        <v/>
      </c>
    </row>
    <row r="22" hidden="1" outlineLevel="2" ht="12" customHeight="1">
      <c r="A22" s="1683" t="n"/>
      <c r="B22" s="62" t="n"/>
      <c r="C22" s="395" t="inlineStr">
        <is>
          <t>Cash settlement - pos 10403- desjardins 1154</t>
        </is>
      </c>
      <c r="D22" s="6" t="n">
        <v>100373</v>
      </c>
      <c r="E22" s="6" t="inlineStr">
        <is>
          <t>100373 - Cash Settlement - POS 10403- Desjardins 1154</t>
        </is>
      </c>
      <c r="F22" s="2">
        <f>'Balance sheet'!AV22</f>
        <v/>
      </c>
      <c r="G22" s="2">
        <f>'Balance sheet'!AW22</f>
        <v/>
      </c>
      <c r="H22" s="2">
        <f>'Balance sheet'!AX22</f>
        <v/>
      </c>
      <c r="I22" s="2">
        <f>'Balance sheet'!AY22</f>
        <v/>
      </c>
      <c r="J22" s="406">
        <f>'Balance sheet'!AZ22</f>
        <v/>
      </c>
      <c r="K22" s="2">
        <f>I22</f>
        <v/>
      </c>
      <c r="L22" s="2" t="n">
        <v>0</v>
      </c>
      <c r="M22" s="2" t="n">
        <v>0</v>
      </c>
      <c r="N22" s="406" t="n">
        <v>0</v>
      </c>
      <c r="O22" s="2">
        <f>J22</f>
        <v/>
      </c>
      <c r="P22" s="2" t="n">
        <v>0</v>
      </c>
      <c r="Q22" s="2" t="n">
        <v>0</v>
      </c>
      <c r="R22" s="2" t="n">
        <v>0</v>
      </c>
      <c r="T22" s="593">
        <f>I22-SUM(K22:N22)</f>
        <v/>
      </c>
      <c r="U22" s="593">
        <f>J22-SUM(O22:R22)</f>
        <v/>
      </c>
    </row>
    <row r="23" hidden="1" outlineLevel="2" ht="12" customHeight="1">
      <c r="A23" s="1683" t="n"/>
      <c r="B23" s="62" t="n"/>
      <c r="C23" s="395" t="inlineStr">
        <is>
          <t>Cash settlement desj etransf 1162</t>
        </is>
      </c>
      <c r="D23" s="6" t="n">
        <v>100380</v>
      </c>
      <c r="E23" s="6" t="inlineStr">
        <is>
          <t>100380 - Cash Settlement Desj Etransf 1162</t>
        </is>
      </c>
      <c r="F23" s="2">
        <f>'Balance sheet'!AV23</f>
        <v/>
      </c>
      <c r="G23" s="2">
        <f>'Balance sheet'!AW23</f>
        <v/>
      </c>
      <c r="H23" s="2">
        <f>'Balance sheet'!AX23</f>
        <v/>
      </c>
      <c r="I23" s="2">
        <f>'Balance sheet'!AY23</f>
        <v/>
      </c>
      <c r="J23" s="406">
        <f>'Balance sheet'!AZ23</f>
        <v/>
      </c>
      <c r="K23" s="2">
        <f>I23</f>
        <v/>
      </c>
      <c r="L23" s="2" t="n">
        <v>0</v>
      </c>
      <c r="M23" s="2" t="n">
        <v>0</v>
      </c>
      <c r="N23" s="406" t="n">
        <v>0</v>
      </c>
      <c r="O23" s="2">
        <f>J23</f>
        <v/>
      </c>
      <c r="P23" s="2" t="n">
        <v>0</v>
      </c>
      <c r="Q23" s="2" t="n">
        <v>0</v>
      </c>
      <c r="R23" s="2" t="n">
        <v>0</v>
      </c>
      <c r="T23" s="593">
        <f>I23-SUM(K23:N23)</f>
        <v/>
      </c>
      <c r="U23" s="593">
        <f>J23-SUM(O23:R23)</f>
        <v/>
      </c>
    </row>
    <row r="24" hidden="1" outlineLevel="2" ht="12" customHeight="1">
      <c r="A24" s="1683" t="n"/>
      <c r="B24" s="62" t="n"/>
      <c r="C24" s="395" t="inlineStr">
        <is>
          <t>Cash USD - settlement td bank, n.a 154</t>
        </is>
      </c>
      <c r="D24" s="6" t="n">
        <v>100418</v>
      </c>
      <c r="E24" s="6" t="inlineStr">
        <is>
          <t>100418 - Cash USD - Settlement TD Bank, N.A 154</t>
        </is>
      </c>
      <c r="F24" s="2">
        <f>'Balance sheet'!AV24</f>
        <v/>
      </c>
      <c r="G24" s="2">
        <f>'Balance sheet'!AW24</f>
        <v/>
      </c>
      <c r="H24" s="2">
        <f>'Balance sheet'!AX24</f>
        <v/>
      </c>
      <c r="I24" s="2">
        <f>'Balance sheet'!AY24</f>
        <v/>
      </c>
      <c r="J24" s="406">
        <f>'Balance sheet'!AZ24</f>
        <v/>
      </c>
      <c r="K24" s="2">
        <f>I24</f>
        <v/>
      </c>
      <c r="L24" s="2" t="n">
        <v>0</v>
      </c>
      <c r="M24" s="2" t="n">
        <v>0</v>
      </c>
      <c r="N24" s="406" t="n">
        <v>0</v>
      </c>
      <c r="O24" s="2">
        <f>J24</f>
        <v/>
      </c>
      <c r="P24" s="2" t="n">
        <v>0</v>
      </c>
      <c r="Q24" s="2" t="n">
        <v>0</v>
      </c>
      <c r="R24" s="2" t="n">
        <v>0</v>
      </c>
      <c r="T24" s="593">
        <f>I24-SUM(K24:N24)</f>
        <v/>
      </c>
      <c r="U24" s="593">
        <f>J24-SUM(O24:R24)</f>
        <v/>
      </c>
    </row>
    <row r="25" hidden="1" outlineLevel="2" ht="12" customHeight="1">
      <c r="A25" s="1683" t="n"/>
      <c r="B25" s="62" t="n"/>
      <c r="C25" s="336" t="inlineStr">
        <is>
          <t>Cash settlement e-transfer desjardins 059</t>
        </is>
      </c>
      <c r="D25" s="393" t="n">
        <v>100359</v>
      </c>
      <c r="E25" s="393" t="inlineStr">
        <is>
          <t>100359 - Cash Settlement E-Transfer Desjardins 059</t>
        </is>
      </c>
      <c r="F25" s="402">
        <f>'Balance sheet'!AV25</f>
        <v/>
      </c>
      <c r="G25" s="402">
        <f>'Balance sheet'!AW25</f>
        <v/>
      </c>
      <c r="H25" s="402">
        <f>'Balance sheet'!AX25</f>
        <v/>
      </c>
      <c r="I25" s="402">
        <f>'Balance sheet'!AY25</f>
        <v/>
      </c>
      <c r="J25" s="407">
        <f>'Balance sheet'!AZ25</f>
        <v/>
      </c>
      <c r="K25" s="402">
        <f>I25</f>
        <v/>
      </c>
      <c r="L25" s="402" t="n">
        <v>0</v>
      </c>
      <c r="M25" s="402" t="n">
        <v>0</v>
      </c>
      <c r="N25" s="407" t="n">
        <v>0</v>
      </c>
      <c r="O25" s="402">
        <f>J25</f>
        <v/>
      </c>
      <c r="P25" s="402" t="n">
        <v>0</v>
      </c>
      <c r="Q25" s="402" t="n">
        <v>0</v>
      </c>
      <c r="R25" s="402" t="n">
        <v>0</v>
      </c>
      <c r="T25" s="593">
        <f>I25-SUM(K25:N25)</f>
        <v/>
      </c>
      <c r="U25" s="593">
        <f>J25-SUM(O25:R25)</f>
        <v/>
      </c>
    </row>
    <row r="26" hidden="1" outlineLevel="1" collapsed="1" ht="12" customHeight="1">
      <c r="A26" s="1683" t="n"/>
      <c r="B26" s="62" t="n"/>
      <c r="C26" s="396" t="inlineStr">
        <is>
          <t xml:space="preserve">Items in transit </t>
        </is>
      </c>
      <c r="F26" s="2">
        <f>SUM(F17:F25)</f>
        <v/>
      </c>
      <c r="G26" s="2">
        <f>SUM(G17:G25)</f>
        <v/>
      </c>
      <c r="H26" s="2">
        <f>SUM(H17:H25)</f>
        <v/>
      </c>
      <c r="I26" s="2">
        <f>SUM(I17:I25)</f>
        <v/>
      </c>
      <c r="J26" s="406">
        <f>SUM(J17:J25)</f>
        <v/>
      </c>
      <c r="K26" s="2">
        <f>SUM(K17:K25)</f>
        <v/>
      </c>
      <c r="L26" s="2">
        <f>SUM(L17:L25)</f>
        <v/>
      </c>
      <c r="M26" s="2">
        <f>SUM(M17:M25)</f>
        <v/>
      </c>
      <c r="N26" s="406">
        <f>SUM(N17:N25)</f>
        <v/>
      </c>
      <c r="O26" s="2">
        <f>SUM(O17:O25)</f>
        <v/>
      </c>
      <c r="P26" s="2">
        <f>SUM(P17:P25)</f>
        <v/>
      </c>
      <c r="Q26" s="2">
        <f>SUM(Q17:Q25)</f>
        <v/>
      </c>
      <c r="R26" s="2">
        <f>SUM(R17:R25)</f>
        <v/>
      </c>
      <c r="S26" s="3" t="n"/>
      <c r="T26" s="593">
        <f>I26-SUM(K26:N26)</f>
        <v/>
      </c>
      <c r="U26" s="593">
        <f>J26-SUM(O26:R26)</f>
        <v/>
      </c>
      <c r="W26" s="2" t="n"/>
    </row>
    <row r="27" hidden="1" outlineLevel="2" ht="12" customHeight="1">
      <c r="A27" s="1683" t="n"/>
      <c r="B27" s="1527" t="n"/>
      <c r="C27" s="395" t="inlineStr">
        <is>
          <t>A/R billings-subledger</t>
        </is>
      </c>
      <c r="D27" s="6" t="n">
        <v>120101</v>
      </c>
      <c r="E27" s="6" t="inlineStr">
        <is>
          <t>120101 - A/R Billings-Subledger</t>
        </is>
      </c>
      <c r="F27" s="2">
        <f>'Balance sheet'!AV27</f>
        <v/>
      </c>
      <c r="G27" s="2">
        <f>'Balance sheet'!AW27</f>
        <v/>
      </c>
      <c r="H27" s="2">
        <f>'Balance sheet'!AX27</f>
        <v/>
      </c>
      <c r="I27" s="2">
        <f>'Balance sheet'!AY27</f>
        <v/>
      </c>
      <c r="J27" s="406">
        <f>'Balance sheet'!AZ27</f>
        <v/>
      </c>
      <c r="K27" s="2">
        <f>I27</f>
        <v/>
      </c>
      <c r="L27" s="2" t="n">
        <v>0</v>
      </c>
      <c r="M27" s="2" t="n">
        <v>0</v>
      </c>
      <c r="N27" s="406" t="n">
        <v>0</v>
      </c>
      <c r="O27" s="2">
        <f>J27</f>
        <v/>
      </c>
      <c r="P27" s="2" t="n">
        <v>0</v>
      </c>
      <c r="Q27" s="2" t="n">
        <v>0</v>
      </c>
      <c r="R27" s="2" t="n">
        <v>0</v>
      </c>
      <c r="T27" s="593">
        <f>I27-SUM(K27:N27)</f>
        <v/>
      </c>
      <c r="U27" s="593">
        <f>J27-SUM(O27:R27)</f>
        <v/>
      </c>
    </row>
    <row r="28" hidden="1" outlineLevel="2" ht="12" customHeight="1">
      <c r="A28" s="1683" t="n"/>
      <c r="B28" s="62" t="n"/>
      <c r="C28" s="395" t="inlineStr">
        <is>
          <t>A/R-trade accrual</t>
        </is>
      </c>
      <c r="D28" s="6" t="n">
        <v>120201</v>
      </c>
      <c r="E28" s="6" t="inlineStr">
        <is>
          <t>120201 - A/R-Trade Accrual</t>
        </is>
      </c>
      <c r="F28" s="2">
        <f>'Balance sheet'!AV28</f>
        <v/>
      </c>
      <c r="G28" s="2">
        <f>'Balance sheet'!AW28</f>
        <v/>
      </c>
      <c r="H28" s="2">
        <f>'Balance sheet'!AX28</f>
        <v/>
      </c>
      <c r="I28" s="2">
        <f>'Balance sheet'!AY28</f>
        <v/>
      </c>
      <c r="J28" s="406">
        <f>'Balance sheet'!AZ28</f>
        <v/>
      </c>
      <c r="K28" s="2">
        <f>I28</f>
        <v/>
      </c>
      <c r="L28" s="2" t="n">
        <v>0</v>
      </c>
      <c r="M28" s="2" t="n">
        <v>0</v>
      </c>
      <c r="N28" s="406" t="n">
        <v>0</v>
      </c>
      <c r="O28" s="2">
        <f>J28</f>
        <v/>
      </c>
      <c r="P28" s="2" t="n">
        <v>0</v>
      </c>
      <c r="Q28" s="2" t="n">
        <v>0</v>
      </c>
      <c r="R28" s="2" t="n">
        <v>0</v>
      </c>
      <c r="T28" s="593">
        <f>I28-SUM(K28:N28)</f>
        <v/>
      </c>
      <c r="U28" s="593">
        <f>J28-SUM(O28:R28)</f>
        <v/>
      </c>
    </row>
    <row r="29" hidden="1" outlineLevel="2" ht="12" customHeight="1">
      <c r="A29" s="1683" t="n"/>
      <c r="B29" s="62" t="n"/>
      <c r="C29" s="395" t="inlineStr">
        <is>
          <t>Accrued merchant services fees</t>
        </is>
      </c>
      <c r="D29" s="6" t="n">
        <v>120301</v>
      </c>
      <c r="E29" s="6" t="inlineStr">
        <is>
          <t>120301 - Accrued Merchant Services Fees</t>
        </is>
      </c>
      <c r="F29" s="2">
        <f>'Balance sheet'!AV29</f>
        <v/>
      </c>
      <c r="G29" s="2">
        <f>'Balance sheet'!AW29</f>
        <v/>
      </c>
      <c r="H29" s="2">
        <f>'Balance sheet'!AX29</f>
        <v/>
      </c>
      <c r="I29" s="2">
        <f>'Balance sheet'!AY29</f>
        <v/>
      </c>
      <c r="J29" s="406">
        <f>'Balance sheet'!AZ29</f>
        <v/>
      </c>
      <c r="K29" s="2">
        <f>I29</f>
        <v/>
      </c>
      <c r="L29" s="2" t="n">
        <v>0</v>
      </c>
      <c r="M29" s="2" t="n">
        <v>0</v>
      </c>
      <c r="N29" s="406" t="n">
        <v>0</v>
      </c>
      <c r="O29" s="2">
        <f>J29</f>
        <v/>
      </c>
      <c r="P29" s="2" t="n">
        <v>0</v>
      </c>
      <c r="Q29" s="2" t="n">
        <v>0</v>
      </c>
      <c r="R29" s="2" t="n">
        <v>0</v>
      </c>
      <c r="T29" s="593">
        <f>I29-SUM(K29:N29)</f>
        <v/>
      </c>
      <c r="U29" s="593">
        <f>J29-SUM(O29:R29)</f>
        <v/>
      </c>
    </row>
    <row r="30" hidden="1" outlineLevel="2" ht="12" customHeight="1">
      <c r="A30" s="1683" t="n"/>
      <c r="B30" s="62" t="n"/>
      <c r="C30" s="395" t="inlineStr">
        <is>
          <t>Accrued other receivable</t>
        </is>
      </c>
      <c r="D30" s="6" t="n">
        <v>120401</v>
      </c>
      <c r="E30" s="6" t="inlineStr">
        <is>
          <t>120401 - Accrued Other Receivable</t>
        </is>
      </c>
      <c r="F30" s="2">
        <f>'Balance sheet'!AV30</f>
        <v/>
      </c>
      <c r="G30" s="2">
        <f>'Balance sheet'!AW30</f>
        <v/>
      </c>
      <c r="H30" s="2">
        <f>'Balance sheet'!AX30</f>
        <v/>
      </c>
      <c r="I30" s="2">
        <f>'Balance sheet'!AY30</f>
        <v/>
      </c>
      <c r="J30" s="406">
        <f>'Balance sheet'!AZ30</f>
        <v/>
      </c>
      <c r="K30" s="2">
        <f>I30</f>
        <v/>
      </c>
      <c r="L30" s="2" t="n">
        <v>0</v>
      </c>
      <c r="M30" s="2" t="n">
        <v>0</v>
      </c>
      <c r="N30" s="406" t="n">
        <v>0</v>
      </c>
      <c r="O30" s="2">
        <f>J30</f>
        <v/>
      </c>
      <c r="P30" s="2" t="n">
        <v>0</v>
      </c>
      <c r="Q30" s="2" t="n">
        <v>0</v>
      </c>
      <c r="R30" s="2" t="n">
        <v>0</v>
      </c>
      <c r="T30" s="593">
        <f>I30-SUM(K30:N30)</f>
        <v/>
      </c>
      <c r="U30" s="593">
        <f>J30-SUM(O30:R30)</f>
        <v/>
      </c>
    </row>
    <row r="31" hidden="1" outlineLevel="2" ht="12" customHeight="1">
      <c r="A31" s="334" t="n"/>
      <c r="B31" s="62" t="n"/>
      <c r="C31" s="395" t="inlineStr">
        <is>
          <t>Sales tax receivables - HST/GST</t>
        </is>
      </c>
      <c r="D31" s="6" t="n">
        <v>130301</v>
      </c>
      <c r="E31" s="6" t="inlineStr">
        <is>
          <t>130301 - Sales Tax Receivables - HST/GST</t>
        </is>
      </c>
      <c r="F31" s="2">
        <f>'Balance sheet'!AV31</f>
        <v/>
      </c>
      <c r="G31" s="2">
        <f>'Balance sheet'!AW31</f>
        <v/>
      </c>
      <c r="H31" s="2">
        <f>'Balance sheet'!AX31</f>
        <v/>
      </c>
      <c r="I31" s="2">
        <f>'Balance sheet'!AY31</f>
        <v/>
      </c>
      <c r="J31" s="406">
        <f>'Balance sheet'!AZ31</f>
        <v/>
      </c>
      <c r="K31" s="2">
        <f>I31</f>
        <v/>
      </c>
      <c r="L31" s="2" t="n">
        <v>0</v>
      </c>
      <c r="M31" s="2" t="n">
        <v>0</v>
      </c>
      <c r="N31" s="406" t="n">
        <v>0</v>
      </c>
      <c r="O31" s="2">
        <f>J31</f>
        <v/>
      </c>
      <c r="P31" s="2" t="n">
        <v>0</v>
      </c>
      <c r="Q31" s="2" t="n">
        <v>0</v>
      </c>
      <c r="R31" s="2" t="n">
        <v>0</v>
      </c>
      <c r="T31" s="593">
        <f>I31-SUM(K31:N31)</f>
        <v/>
      </c>
      <c r="U31" s="593">
        <f>J31-SUM(O31:R31)</f>
        <v/>
      </c>
    </row>
    <row r="32" hidden="1" outlineLevel="2" ht="12" customHeight="1">
      <c r="A32" s="1683" t="n"/>
      <c r="B32" s="62" t="n"/>
      <c r="C32" s="395" t="inlineStr">
        <is>
          <t>Interest receivables</t>
        </is>
      </c>
      <c r="D32" s="6" t="n">
        <v>130101</v>
      </c>
      <c r="E32" s="6" t="inlineStr">
        <is>
          <t>130101 - Interest Receivables</t>
        </is>
      </c>
      <c r="F32" s="2">
        <f>'Balance sheet'!AV32</f>
        <v/>
      </c>
      <c r="G32" s="2">
        <f>'Balance sheet'!AW32</f>
        <v/>
      </c>
      <c r="H32" s="2">
        <f>'Balance sheet'!AX32</f>
        <v/>
      </c>
      <c r="I32" s="2">
        <f>'Balance sheet'!AY32</f>
        <v/>
      </c>
      <c r="J32" s="406">
        <f>'Balance sheet'!AZ32</f>
        <v/>
      </c>
      <c r="K32" s="2">
        <f>I32</f>
        <v/>
      </c>
      <c r="L32" s="2" t="n">
        <v>0</v>
      </c>
      <c r="M32" s="2" t="n">
        <v>0</v>
      </c>
      <c r="N32" s="406" t="n">
        <v>0</v>
      </c>
      <c r="O32" s="2">
        <f>J32</f>
        <v/>
      </c>
      <c r="P32" s="2" t="n">
        <v>0</v>
      </c>
      <c r="Q32" s="2" t="n">
        <v>0</v>
      </c>
      <c r="R32" s="2" t="n">
        <v>0</v>
      </c>
      <c r="T32" s="593">
        <f>I32-SUM(K32:N32)</f>
        <v/>
      </c>
      <c r="U32" s="593">
        <f>J32-SUM(O32:R32)</f>
        <v/>
      </c>
    </row>
    <row r="33" hidden="1" outlineLevel="2" ht="12" customHeight="1">
      <c r="A33" s="1683" t="n"/>
      <c r="B33" s="62" t="n"/>
      <c r="C33" s="395" t="inlineStr">
        <is>
          <t>Sales tax receivables - QST</t>
        </is>
      </c>
      <c r="D33" s="6" t="n">
        <v>130300</v>
      </c>
      <c r="E33" s="6" t="inlineStr">
        <is>
          <t>130300 - Sales Tax Receivables - QST</t>
        </is>
      </c>
      <c r="F33" s="2">
        <f>'Balance sheet'!AV33</f>
        <v/>
      </c>
      <c r="G33" s="2">
        <f>'Balance sheet'!AW33</f>
        <v/>
      </c>
      <c r="H33" s="2">
        <f>'Balance sheet'!AX33</f>
        <v/>
      </c>
      <c r="I33" s="2">
        <f>'Balance sheet'!AY33</f>
        <v/>
      </c>
      <c r="J33" s="406">
        <f>'Balance sheet'!AZ33</f>
        <v/>
      </c>
      <c r="K33" s="2">
        <f>I33</f>
        <v/>
      </c>
      <c r="L33" s="2" t="n">
        <v>0</v>
      </c>
      <c r="M33" s="2" t="n">
        <v>0</v>
      </c>
      <c r="N33" s="406" t="n">
        <v>0</v>
      </c>
      <c r="O33" s="2">
        <f>J33</f>
        <v/>
      </c>
      <c r="P33" s="2" t="n">
        <v>0</v>
      </c>
      <c r="Q33" s="2" t="n">
        <v>0</v>
      </c>
      <c r="R33" s="2" t="n">
        <v>0</v>
      </c>
      <c r="T33" s="593">
        <f>I33-SUM(K33:N33)</f>
        <v/>
      </c>
      <c r="U33" s="593">
        <f>J33-SUM(O33:R33)</f>
        <v/>
      </c>
    </row>
    <row r="34" hidden="1" outlineLevel="2" ht="12" customHeight="1">
      <c r="A34" s="1683" t="n"/>
      <c r="B34" s="62" t="n"/>
      <c r="C34" s="395" t="inlineStr">
        <is>
          <t>IFRS15 adjustment to accr A/R</t>
        </is>
      </c>
      <c r="D34" s="6" t="n">
        <v>120215</v>
      </c>
      <c r="E34" s="6" t="inlineStr">
        <is>
          <t>120215 - -IFRS15 Adjustment to Accr AR-</t>
        </is>
      </c>
      <c r="F34" s="2">
        <f>'Balance sheet'!AV34</f>
        <v/>
      </c>
      <c r="G34" s="2">
        <f>'Balance sheet'!AW34</f>
        <v/>
      </c>
      <c r="H34" s="2">
        <f>'Balance sheet'!AX34</f>
        <v/>
      </c>
      <c r="I34" s="2">
        <f>'Balance sheet'!AY34</f>
        <v/>
      </c>
      <c r="J34" s="406">
        <f>'Balance sheet'!AZ34</f>
        <v/>
      </c>
      <c r="K34" s="2">
        <f>I34</f>
        <v/>
      </c>
      <c r="L34" s="2" t="n">
        <v>0</v>
      </c>
      <c r="M34" s="2" t="n">
        <v>0</v>
      </c>
      <c r="N34" s="406" t="n">
        <v>0</v>
      </c>
      <c r="O34" s="2">
        <f>J34</f>
        <v/>
      </c>
      <c r="P34" s="2" t="n">
        <v>0</v>
      </c>
      <c r="Q34" s="2" t="n">
        <v>0</v>
      </c>
      <c r="R34" s="2" t="n">
        <v>0</v>
      </c>
      <c r="T34" s="593">
        <f>I34-SUM(K34:N34)</f>
        <v/>
      </c>
      <c r="U34" s="593">
        <f>J34-SUM(O34:R34)</f>
        <v/>
      </c>
    </row>
    <row r="35" hidden="1" outlineLevel="2" ht="12" customHeight="1">
      <c r="A35" s="1683" t="n"/>
      <c r="B35" s="62" t="n"/>
      <c r="C35" s="395" t="inlineStr">
        <is>
          <t>Corporate card payments suspense</t>
        </is>
      </c>
      <c r="D35" s="6" t="n">
        <v>143102</v>
      </c>
      <c r="E35" s="6" t="inlineStr">
        <is>
          <t>143102 - Corporate Card Payments Suspense</t>
        </is>
      </c>
      <c r="F35" s="2">
        <f>'Balance sheet'!AV35</f>
        <v/>
      </c>
      <c r="G35" s="2">
        <f>'Balance sheet'!AW35</f>
        <v/>
      </c>
      <c r="H35" s="2">
        <f>'Balance sheet'!AX35</f>
        <v/>
      </c>
      <c r="I35" s="2">
        <f>'Balance sheet'!AY35</f>
        <v/>
      </c>
      <c r="J35" s="406">
        <f>'Balance sheet'!AZ35</f>
        <v/>
      </c>
      <c r="K35" s="2">
        <f>I35</f>
        <v/>
      </c>
      <c r="L35" s="2" t="n">
        <v>0</v>
      </c>
      <c r="M35" s="2" t="n">
        <v>0</v>
      </c>
      <c r="N35" s="406" t="n">
        <v>0</v>
      </c>
      <c r="O35" s="2">
        <f>J35</f>
        <v/>
      </c>
      <c r="P35" s="2" t="n">
        <v>0</v>
      </c>
      <c r="Q35" s="2" t="n">
        <v>0</v>
      </c>
      <c r="R35" s="2" t="n">
        <v>0</v>
      </c>
      <c r="T35" s="593">
        <f>I35-SUM(K35:N35)</f>
        <v/>
      </c>
      <c r="U35" s="593">
        <f>J35-SUM(O35:R35)</f>
        <v/>
      </c>
    </row>
    <row r="36" hidden="1" outlineLevel="2" ht="12" customHeight="1">
      <c r="A36" s="1683" t="n"/>
      <c r="B36" s="62" t="n"/>
      <c r="C36" s="336" t="inlineStr">
        <is>
          <t>Allowances for customers A/R</t>
        </is>
      </c>
      <c r="D36" s="393" t="n">
        <v>125101</v>
      </c>
      <c r="E36" s="393" t="inlineStr">
        <is>
          <t>125101 - Allowances for Customers A/R</t>
        </is>
      </c>
      <c r="F36" s="402">
        <f>'Balance sheet'!AV36</f>
        <v/>
      </c>
      <c r="G36" s="402">
        <f>'Balance sheet'!AW36</f>
        <v/>
      </c>
      <c r="H36" s="402">
        <f>'Balance sheet'!AX36</f>
        <v/>
      </c>
      <c r="I36" s="402">
        <f>'Balance sheet'!AY36</f>
        <v/>
      </c>
      <c r="J36" s="407">
        <f>'Balance sheet'!AZ36</f>
        <v/>
      </c>
      <c r="K36" s="402">
        <f>I36</f>
        <v/>
      </c>
      <c r="L36" s="402" t="n">
        <v>0</v>
      </c>
      <c r="M36" s="402" t="n">
        <v>0</v>
      </c>
      <c r="N36" s="407" t="n">
        <v>0</v>
      </c>
      <c r="O36" s="402">
        <f>J36</f>
        <v/>
      </c>
      <c r="P36" s="402" t="n">
        <v>0</v>
      </c>
      <c r="Q36" s="402" t="n">
        <v>0</v>
      </c>
      <c r="R36" s="402" t="n">
        <v>0</v>
      </c>
      <c r="T36" s="593">
        <f>I36-SUM(K36:N36)</f>
        <v/>
      </c>
      <c r="U36" s="593">
        <f>J36-SUM(O36:R36)</f>
        <v/>
      </c>
    </row>
    <row r="37" hidden="1" outlineLevel="1" collapsed="1" ht="12" customHeight="1">
      <c r="A37" s="1683" t="n"/>
      <c r="B37" s="62" t="n"/>
      <c r="C37" s="396" t="inlineStr">
        <is>
          <t xml:space="preserve">Accounts receivable and other receivables </t>
        </is>
      </c>
      <c r="F37" s="2">
        <f>SUM(F27:F36)</f>
        <v/>
      </c>
      <c r="G37" s="2">
        <f>SUM(G27:G36)</f>
        <v/>
      </c>
      <c r="H37" s="2">
        <f>SUM(H27:H36)</f>
        <v/>
      </c>
      <c r="I37" s="2">
        <f>SUM(I27:I36)</f>
        <v/>
      </c>
      <c r="J37" s="406">
        <f>SUM(J27:J36)</f>
        <v/>
      </c>
      <c r="K37" s="2">
        <f>SUM(K27:K36)</f>
        <v/>
      </c>
      <c r="L37" s="2">
        <f>SUM(L27:L36)</f>
        <v/>
      </c>
      <c r="M37" s="2">
        <f>SUM(M27:M36)</f>
        <v/>
      </c>
      <c r="N37" s="406">
        <f>SUM(N27:N36)</f>
        <v/>
      </c>
      <c r="O37" s="2">
        <f>SUM(O27:O36)</f>
        <v/>
      </c>
      <c r="P37" s="2">
        <f>SUM(P27:P36)</f>
        <v/>
      </c>
      <c r="Q37" s="2">
        <f>SUM(Q27:Q36)</f>
        <v/>
      </c>
      <c r="R37" s="2">
        <f>SUM(R27:R36)</f>
        <v/>
      </c>
      <c r="T37" s="593">
        <f>I37-SUM(K37:N37)</f>
        <v/>
      </c>
      <c r="U37" s="593">
        <f>J37-SUM(O37:R37)</f>
        <v/>
      </c>
    </row>
    <row r="38" hidden="1" outlineLevel="2" ht="12" customHeight="1">
      <c r="A38" s="334" t="n"/>
      <c r="B38" s="62" t="n"/>
      <c r="C38" s="395" t="inlineStr">
        <is>
          <t>Inventory - prepaid COGS</t>
        </is>
      </c>
      <c r="D38" s="6" t="n">
        <v>142113</v>
      </c>
      <c r="E38" s="6" t="inlineStr">
        <is>
          <t>142113 - Inventory - Prepaid COGS</t>
        </is>
      </c>
      <c r="F38" s="2">
        <f>'Balance sheet'!AV38</f>
        <v/>
      </c>
      <c r="G38" s="2">
        <f>'Balance sheet'!AW38</f>
        <v/>
      </c>
      <c r="H38" s="2">
        <f>'Balance sheet'!AX38</f>
        <v/>
      </c>
      <c r="I38" s="2">
        <f>'Balance sheet'!AY38</f>
        <v/>
      </c>
      <c r="J38" s="406">
        <f>'Balance sheet'!AZ38</f>
        <v/>
      </c>
      <c r="K38" s="2">
        <f>I38</f>
        <v/>
      </c>
      <c r="L38" s="2" t="n">
        <v>0</v>
      </c>
      <c r="M38" s="2" t="n">
        <v>0</v>
      </c>
      <c r="N38" s="406" t="n">
        <v>0</v>
      </c>
      <c r="O38" s="2">
        <f>J38</f>
        <v/>
      </c>
      <c r="P38" s="2" t="n">
        <v>0</v>
      </c>
      <c r="Q38" s="2" t="n">
        <v>0</v>
      </c>
      <c r="R38" s="2" t="n">
        <v>0</v>
      </c>
      <c r="T38" s="593">
        <f>I38-SUM(K38:N38)</f>
        <v/>
      </c>
      <c r="U38" s="593">
        <f>J38-SUM(O38:R38)</f>
        <v/>
      </c>
    </row>
    <row r="39" hidden="1" outlineLevel="2" ht="12" customHeight="1">
      <c r="A39" s="1683" t="n"/>
      <c r="B39" s="62" t="n"/>
      <c r="C39" s="395" t="inlineStr">
        <is>
          <t>Inventory</t>
        </is>
      </c>
      <c r="D39" s="6" t="n">
        <v>142101</v>
      </c>
      <c r="E39" s="6" t="inlineStr">
        <is>
          <t>142101 - Inventory</t>
        </is>
      </c>
      <c r="F39" s="2">
        <f>'Balance sheet'!AV39</f>
        <v/>
      </c>
      <c r="G39" s="2">
        <f>'Balance sheet'!AW39</f>
        <v/>
      </c>
      <c r="H39" s="2">
        <f>'Balance sheet'!AX39</f>
        <v/>
      </c>
      <c r="I39" s="2">
        <f>'Balance sheet'!AY39</f>
        <v/>
      </c>
      <c r="J39" s="406">
        <f>'Balance sheet'!AZ39</f>
        <v/>
      </c>
      <c r="K39" s="2">
        <f>I39</f>
        <v/>
      </c>
      <c r="L39" s="2" t="n">
        <v>0</v>
      </c>
      <c r="M39" s="2" t="n">
        <v>0</v>
      </c>
      <c r="N39" s="406" t="n">
        <v>0</v>
      </c>
      <c r="O39" s="2">
        <f>J39</f>
        <v/>
      </c>
      <c r="P39" s="2" t="n">
        <v>0</v>
      </c>
      <c r="Q39" s="2" t="n">
        <v>0</v>
      </c>
      <c r="R39" s="2" t="n">
        <v>0</v>
      </c>
      <c r="T39" s="593">
        <f>I39-SUM(K39:N39)</f>
        <v/>
      </c>
      <c r="U39" s="593">
        <f>J39-SUM(O39:R39)</f>
        <v/>
      </c>
    </row>
    <row r="40" hidden="1" outlineLevel="2" ht="12" customHeight="1">
      <c r="A40" s="1683" t="n"/>
      <c r="B40" s="62" t="n"/>
      <c r="C40" s="336" t="inlineStr">
        <is>
          <t>Inventory - rental units</t>
        </is>
      </c>
      <c r="D40" s="393" t="n">
        <v>142112</v>
      </c>
      <c r="E40" s="393" t="inlineStr">
        <is>
          <t>142112 - Inventory - Rental Units</t>
        </is>
      </c>
      <c r="F40" s="402">
        <f>'Balance sheet'!AV40</f>
        <v/>
      </c>
      <c r="G40" s="402">
        <f>'Balance sheet'!AW40</f>
        <v/>
      </c>
      <c r="H40" s="402">
        <f>'Balance sheet'!AX40</f>
        <v/>
      </c>
      <c r="I40" s="402">
        <f>'Balance sheet'!AY40</f>
        <v/>
      </c>
      <c r="J40" s="407">
        <f>'Balance sheet'!AZ40</f>
        <v/>
      </c>
      <c r="K40" s="402">
        <f>I40</f>
        <v/>
      </c>
      <c r="L40" s="402" t="n">
        <v>0</v>
      </c>
      <c r="M40" s="402" t="n">
        <v>0</v>
      </c>
      <c r="N40" s="407" t="n">
        <v>0</v>
      </c>
      <c r="O40" s="402">
        <f>J40</f>
        <v/>
      </c>
      <c r="P40" s="402" t="n">
        <v>0</v>
      </c>
      <c r="Q40" s="402" t="n">
        <v>0</v>
      </c>
      <c r="R40" s="402" t="n">
        <v>0</v>
      </c>
      <c r="T40" s="593">
        <f>I40-SUM(K40:N40)</f>
        <v/>
      </c>
      <c r="U40" s="593">
        <f>J40-SUM(O40:R40)</f>
        <v/>
      </c>
    </row>
    <row r="41" hidden="1" outlineLevel="1" collapsed="1" ht="12" customHeight="1">
      <c r="A41" s="1683" t="n"/>
      <c r="B41" s="62" t="n"/>
      <c r="C41" s="396" t="inlineStr">
        <is>
          <t>Inventory</t>
        </is>
      </c>
      <c r="F41" s="2">
        <f>SUM(F38:F40)</f>
        <v/>
      </c>
      <c r="G41" s="2">
        <f>SUM(G38:G40)</f>
        <v/>
      </c>
      <c r="H41" s="2">
        <f>SUM(H38:H40)</f>
        <v/>
      </c>
      <c r="I41" s="2">
        <f>SUM(I38:I40)</f>
        <v/>
      </c>
      <c r="J41" s="406">
        <f>SUM(J38:J40)</f>
        <v/>
      </c>
      <c r="K41" s="2">
        <f>SUM(K38:K40)</f>
        <v/>
      </c>
      <c r="L41" s="2">
        <f>SUM(L38:L40)</f>
        <v/>
      </c>
      <c r="M41" s="2">
        <f>SUM(M38:M40)</f>
        <v/>
      </c>
      <c r="N41" s="406">
        <f>SUM(N38:N40)</f>
        <v/>
      </c>
      <c r="O41" s="2">
        <f>SUM(O38:O40)</f>
        <v/>
      </c>
      <c r="P41" s="2">
        <f>SUM(P38:P40)</f>
        <v/>
      </c>
      <c r="Q41" s="2">
        <f>SUM(Q38:Q40)</f>
        <v/>
      </c>
      <c r="R41" s="2">
        <f>SUM(R38:R40)</f>
        <v/>
      </c>
      <c r="T41" s="593">
        <f>I41-SUM(K41:N41)</f>
        <v/>
      </c>
      <c r="U41" s="593">
        <f>J41-SUM(O41:R41)</f>
        <v/>
      </c>
    </row>
    <row r="42" hidden="1" outlineLevel="2" ht="12" customHeight="1">
      <c r="A42" s="1683" t="n"/>
      <c r="B42" s="62" t="n"/>
      <c r="C42" s="395" t="inlineStr">
        <is>
          <t>Prepaid SW license fees</t>
        </is>
      </c>
      <c r="D42" s="6" t="n">
        <v>141511</v>
      </c>
      <c r="E42" s="6" t="inlineStr">
        <is>
          <t>141511 - Prepaid SW License Fees</t>
        </is>
      </c>
      <c r="F42" s="2">
        <f>'Balance sheet'!AV42</f>
        <v/>
      </c>
      <c r="G42" s="2">
        <f>'Balance sheet'!AW42</f>
        <v/>
      </c>
      <c r="H42" s="2">
        <f>'Balance sheet'!AX42</f>
        <v/>
      </c>
      <c r="I42" s="2">
        <f>'Balance sheet'!AY42</f>
        <v/>
      </c>
      <c r="J42" s="406">
        <f>'Balance sheet'!AZ42</f>
        <v/>
      </c>
      <c r="K42" s="2">
        <f>I42</f>
        <v/>
      </c>
      <c r="L42" s="2" t="n">
        <v>0</v>
      </c>
      <c r="M42" s="2" t="n">
        <v>0</v>
      </c>
      <c r="N42" s="406" t="n">
        <v>0</v>
      </c>
      <c r="O42" s="2">
        <f>J42</f>
        <v/>
      </c>
      <c r="P42" s="2" t="n">
        <v>0</v>
      </c>
      <c r="Q42" s="2" t="n">
        <v>0</v>
      </c>
      <c r="R42" s="2" t="n">
        <v>0</v>
      </c>
      <c r="T42" s="593">
        <f>I42-SUM(K42:N42)</f>
        <v/>
      </c>
      <c r="U42" s="593">
        <f>J42-SUM(O42:R42)</f>
        <v/>
      </c>
    </row>
    <row r="43" hidden="1" outlineLevel="2" ht="12" customHeight="1">
      <c r="A43" s="1683" t="n"/>
      <c r="B43" s="62" t="n"/>
      <c r="C43" s="395" t="inlineStr">
        <is>
          <t>Prepaid SW maintenance</t>
        </is>
      </c>
      <c r="D43" s="6" t="n">
        <v>141204</v>
      </c>
      <c r="E43" s="6" t="inlineStr">
        <is>
          <t>141204 - Prepaid SW Maintenance</t>
        </is>
      </c>
      <c r="F43" s="2">
        <f>'Balance sheet'!AV43</f>
        <v/>
      </c>
      <c r="G43" s="2">
        <f>'Balance sheet'!AW43</f>
        <v/>
      </c>
      <c r="H43" s="2">
        <f>'Balance sheet'!AX43</f>
        <v/>
      </c>
      <c r="I43" s="2">
        <f>'Balance sheet'!AY43</f>
        <v/>
      </c>
      <c r="J43" s="406">
        <f>'Balance sheet'!AZ43</f>
        <v/>
      </c>
      <c r="K43" s="2">
        <f>I43</f>
        <v/>
      </c>
      <c r="L43" s="2" t="n">
        <v>0</v>
      </c>
      <c r="M43" s="2" t="n">
        <v>0</v>
      </c>
      <c r="N43" s="406" t="n">
        <v>0</v>
      </c>
      <c r="O43" s="2">
        <f>J43</f>
        <v/>
      </c>
      <c r="P43" s="2" t="n">
        <v>0</v>
      </c>
      <c r="Q43" s="2" t="n">
        <v>0</v>
      </c>
      <c r="R43" s="2" t="n">
        <v>0</v>
      </c>
      <c r="T43" s="593">
        <f>I43-SUM(K43:N43)</f>
        <v/>
      </c>
      <c r="U43" s="593">
        <f>J43-SUM(O43:R43)</f>
        <v/>
      </c>
    </row>
    <row r="44" hidden="1" outlineLevel="2" ht="12" customHeight="1">
      <c r="A44" s="1683" t="n"/>
      <c r="B44" s="62" t="n"/>
      <c r="C44" s="395" t="inlineStr">
        <is>
          <t>Prepaid HW maintenance</t>
        </is>
      </c>
      <c r="D44" s="6" t="n">
        <v>141203</v>
      </c>
      <c r="E44" s="6" t="inlineStr">
        <is>
          <t>141203 - Prepaid HW Maintenance</t>
        </is>
      </c>
      <c r="F44" s="2">
        <f>'Balance sheet'!AV44</f>
        <v/>
      </c>
      <c r="G44" s="2">
        <f>'Balance sheet'!AW44</f>
        <v/>
      </c>
      <c r="H44" s="2">
        <f>'Balance sheet'!AX44</f>
        <v/>
      </c>
      <c r="I44" s="2">
        <f>'Balance sheet'!AY44</f>
        <v/>
      </c>
      <c r="J44" s="406">
        <f>'Balance sheet'!AZ44</f>
        <v/>
      </c>
      <c r="K44" s="2">
        <f>I44</f>
        <v/>
      </c>
      <c r="L44" s="2" t="n">
        <v>0</v>
      </c>
      <c r="M44" s="2" t="n">
        <v>0</v>
      </c>
      <c r="N44" s="406" t="n">
        <v>0</v>
      </c>
      <c r="O44" s="2">
        <f>J44</f>
        <v/>
      </c>
      <c r="P44" s="2" t="n">
        <v>0</v>
      </c>
      <c r="Q44" s="2" t="n">
        <v>0</v>
      </c>
      <c r="R44" s="2" t="n">
        <v>0</v>
      </c>
      <c r="T44" s="593">
        <f>I44-SUM(K44:N44)</f>
        <v/>
      </c>
      <c r="U44" s="593">
        <f>J44-SUM(O44:R44)</f>
        <v/>
      </c>
    </row>
    <row r="45" hidden="1" outlineLevel="2" ht="12" customHeight="1">
      <c r="A45" s="334" t="n"/>
      <c r="B45" s="62" t="n"/>
      <c r="C45" s="395" t="inlineStr">
        <is>
          <t>Prepaid insurance</t>
        </is>
      </c>
      <c r="D45" s="6" t="n">
        <v>143201</v>
      </c>
      <c r="E45" s="6" t="inlineStr">
        <is>
          <t>143201 - Prepaid Insurance</t>
        </is>
      </c>
      <c r="F45" s="2">
        <f>'Balance sheet'!AV45</f>
        <v/>
      </c>
      <c r="G45" s="2">
        <f>'Balance sheet'!AW45</f>
        <v/>
      </c>
      <c r="H45" s="2">
        <f>'Balance sheet'!AX45</f>
        <v/>
      </c>
      <c r="I45" s="2">
        <f>'Balance sheet'!AY45</f>
        <v/>
      </c>
      <c r="J45" s="406">
        <f>'Balance sheet'!AZ45</f>
        <v/>
      </c>
      <c r="K45" s="2">
        <f>I45</f>
        <v/>
      </c>
      <c r="L45" s="2" t="n">
        <v>0</v>
      </c>
      <c r="M45" s="2" t="n">
        <v>0</v>
      </c>
      <c r="N45" s="406" t="n">
        <v>0</v>
      </c>
      <c r="O45" s="2">
        <f>J45</f>
        <v/>
      </c>
      <c r="P45" s="2" t="n">
        <v>0</v>
      </c>
      <c r="Q45" s="2" t="n">
        <v>0</v>
      </c>
      <c r="R45" s="2" t="n">
        <v>0</v>
      </c>
      <c r="T45" s="593">
        <f>I45-SUM(K45:N45)</f>
        <v/>
      </c>
      <c r="U45" s="593">
        <f>J45-SUM(O45:R45)</f>
        <v/>
      </c>
    </row>
    <row r="46" hidden="1" outlineLevel="2" ht="12" customHeight="1">
      <c r="A46" s="1683" t="n"/>
      <c r="B46" s="59" t="n"/>
      <c r="C46" s="395" t="inlineStr">
        <is>
          <t>Prepaid rent</t>
        </is>
      </c>
      <c r="D46" s="6" t="n">
        <v>143201</v>
      </c>
      <c r="E46" s="6" t="inlineStr">
        <is>
          <t>143201 - Prepaid Rent</t>
        </is>
      </c>
      <c r="F46" s="2">
        <f>'Balance sheet'!AV46</f>
        <v/>
      </c>
      <c r="G46" s="2">
        <f>'Balance sheet'!AW46</f>
        <v/>
      </c>
      <c r="H46" s="2">
        <f>'Balance sheet'!AX46</f>
        <v/>
      </c>
      <c r="I46" s="2">
        <f>'Balance sheet'!AY46</f>
        <v/>
      </c>
      <c r="J46" s="406">
        <f>'Balance sheet'!AZ46</f>
        <v/>
      </c>
      <c r="K46" s="2">
        <f>I46</f>
        <v/>
      </c>
      <c r="L46" s="2" t="n">
        <v>0</v>
      </c>
      <c r="M46" s="2" t="n">
        <v>0</v>
      </c>
      <c r="N46" s="406" t="n">
        <v>0</v>
      </c>
      <c r="O46" s="2">
        <f>J46</f>
        <v/>
      </c>
      <c r="P46" s="2" t="n">
        <v>0</v>
      </c>
      <c r="Q46" s="2" t="n">
        <v>0</v>
      </c>
      <c r="R46" s="2" t="n">
        <v>0</v>
      </c>
      <c r="T46" s="593">
        <f>I46-SUM(K46:N46)</f>
        <v/>
      </c>
      <c r="U46" s="593">
        <f>J46-SUM(O46:R46)</f>
        <v/>
      </c>
    </row>
    <row r="47" hidden="1" outlineLevel="2" ht="12" customHeight="1">
      <c r="A47" s="1683" t="n"/>
      <c r="B47" s="62" t="n"/>
      <c r="C47" s="395" t="inlineStr">
        <is>
          <t>Prepaid other miscellaneous</t>
        </is>
      </c>
      <c r="D47" s="6" t="n">
        <v>141501</v>
      </c>
      <c r="E47" s="6" t="inlineStr">
        <is>
          <t>141501 - Prepaid Other Miscellaneous</t>
        </is>
      </c>
      <c r="F47" s="2">
        <f>'Balance sheet'!AV47</f>
        <v/>
      </c>
      <c r="G47" s="2">
        <f>'Balance sheet'!AW47</f>
        <v/>
      </c>
      <c r="H47" s="2">
        <f>'Balance sheet'!AX47</f>
        <v/>
      </c>
      <c r="I47" s="2">
        <f>'Balance sheet'!AY47</f>
        <v/>
      </c>
      <c r="J47" s="406">
        <f>'Balance sheet'!AZ47</f>
        <v/>
      </c>
      <c r="K47" s="2">
        <f>I47</f>
        <v/>
      </c>
      <c r="L47" s="2" t="n">
        <v>0</v>
      </c>
      <c r="M47" s="2" t="n">
        <v>0</v>
      </c>
      <c r="N47" s="406" t="n">
        <v>0</v>
      </c>
      <c r="O47" s="2">
        <f>J47</f>
        <v/>
      </c>
      <c r="P47" s="2" t="n">
        <v>0</v>
      </c>
      <c r="Q47" s="2" t="n">
        <v>0</v>
      </c>
      <c r="R47" s="2" t="n">
        <v>0</v>
      </c>
      <c r="T47" s="593">
        <f>I47-SUM(K47:N47)</f>
        <v/>
      </c>
      <c r="U47" s="593">
        <f>J47-SUM(O47:R47)</f>
        <v/>
      </c>
    </row>
    <row r="48" hidden="1" outlineLevel="2" ht="12" customHeight="1">
      <c r="A48" s="1683" t="n"/>
      <c r="B48" s="62" t="n"/>
      <c r="C48" s="336" t="inlineStr">
        <is>
          <t>Prepaid marketing &amp; tradeshow</t>
        </is>
      </c>
      <c r="D48" s="393" t="n">
        <v>141502</v>
      </c>
      <c r="E48" s="393" t="inlineStr">
        <is>
          <t>141502 - Prepaid Marketing &amp; Tradeshow</t>
        </is>
      </c>
      <c r="F48" s="402">
        <f>'Balance sheet'!AV48</f>
        <v/>
      </c>
      <c r="G48" s="402">
        <f>'Balance sheet'!AW48</f>
        <v/>
      </c>
      <c r="H48" s="402">
        <f>'Balance sheet'!AX48</f>
        <v/>
      </c>
      <c r="I48" s="402">
        <f>'Balance sheet'!AY48</f>
        <v/>
      </c>
      <c r="J48" s="407">
        <f>'Balance sheet'!AZ48</f>
        <v/>
      </c>
      <c r="K48" s="402">
        <f>I48</f>
        <v/>
      </c>
      <c r="L48" s="402" t="n">
        <v>0</v>
      </c>
      <c r="M48" s="402" t="n">
        <v>0</v>
      </c>
      <c r="N48" s="407" t="n">
        <v>0</v>
      </c>
      <c r="O48" s="402">
        <f>J48</f>
        <v/>
      </c>
      <c r="P48" s="402" t="n">
        <v>0</v>
      </c>
      <c r="Q48" s="402" t="n">
        <v>0</v>
      </c>
      <c r="R48" s="402" t="n">
        <v>0</v>
      </c>
      <c r="T48" s="593">
        <f>I48-SUM(K48:N48)</f>
        <v/>
      </c>
      <c r="U48" s="593">
        <f>J48-SUM(O48:R48)</f>
        <v/>
      </c>
    </row>
    <row r="49" hidden="1" outlineLevel="1" collapsed="1" ht="12" customHeight="1">
      <c r="A49" s="1683" t="n"/>
      <c r="B49" s="62" t="n"/>
      <c r="C49" s="396" t="inlineStr">
        <is>
          <t xml:space="preserve">Prepaid expenses </t>
        </is>
      </c>
      <c r="F49" s="2">
        <f>SUM(F42:F48)</f>
        <v/>
      </c>
      <c r="G49" s="2">
        <f>SUM(G42:G48)</f>
        <v/>
      </c>
      <c r="H49" s="2">
        <f>SUM(H42:H48)</f>
        <v/>
      </c>
      <c r="I49" s="2">
        <f>SUM(I42:I48)</f>
        <v/>
      </c>
      <c r="J49" s="406">
        <f>SUM(J42:J48)</f>
        <v/>
      </c>
      <c r="K49" s="2">
        <f>SUM(K42:K48)</f>
        <v/>
      </c>
      <c r="L49" s="2">
        <f>SUM(L42:L48)</f>
        <v/>
      </c>
      <c r="M49" s="2">
        <f>SUM(M42:M48)</f>
        <v/>
      </c>
      <c r="N49" s="406">
        <f>SUM(N42:N48)</f>
        <v/>
      </c>
      <c r="O49" s="2">
        <f>SUM(O42:O48)</f>
        <v/>
      </c>
      <c r="P49" s="2">
        <f>SUM(P42:P48)</f>
        <v/>
      </c>
      <c r="Q49" s="2">
        <f>SUM(Q42:Q48)</f>
        <v/>
      </c>
      <c r="R49" s="2">
        <f>SUM(R42:R48)</f>
        <v/>
      </c>
      <c r="T49" s="593">
        <f>I49-SUM(K49:N49)</f>
        <v/>
      </c>
      <c r="U49" s="593">
        <f>J49-SUM(O49:R49)</f>
        <v/>
      </c>
    </row>
    <row r="50" hidden="1" outlineLevel="2" ht="12" customHeight="1">
      <c r="A50" s="1683" t="n"/>
      <c r="B50" s="62" t="n"/>
      <c r="C50" s="336" t="inlineStr">
        <is>
          <t>Contract assets current IFRS15</t>
        </is>
      </c>
      <c r="D50" s="393" t="n">
        <v>148015</v>
      </c>
      <c r="E50" s="393" t="inlineStr">
        <is>
          <t>148015 - Contract Assets Current IFRS15</t>
        </is>
      </c>
      <c r="F50" s="402">
        <f>'Balance sheet'!AV50</f>
        <v/>
      </c>
      <c r="G50" s="402">
        <f>'Balance sheet'!AW50</f>
        <v/>
      </c>
      <c r="H50" s="402">
        <f>'Balance sheet'!AX50</f>
        <v/>
      </c>
      <c r="I50" s="402">
        <f>'Balance sheet'!AY50</f>
        <v/>
      </c>
      <c r="J50" s="407">
        <f>'Balance sheet'!AZ50</f>
        <v/>
      </c>
      <c r="K50" s="402">
        <f>I50</f>
        <v/>
      </c>
      <c r="L50" s="402" t="n">
        <v>0</v>
      </c>
      <c r="M50" s="402" t="n">
        <v>0</v>
      </c>
      <c r="N50" s="407" t="n">
        <v>0</v>
      </c>
      <c r="O50" s="402">
        <f>J50</f>
        <v/>
      </c>
      <c r="P50" s="402" t="n">
        <v>0</v>
      </c>
      <c r="Q50" s="402" t="n">
        <v>0</v>
      </c>
      <c r="R50" s="402" t="n">
        <v>0</v>
      </c>
      <c r="T50" s="593">
        <f>I50-SUM(K50:N50)</f>
        <v/>
      </c>
      <c r="U50" s="593">
        <f>J50-SUM(O50:R50)</f>
        <v/>
      </c>
    </row>
    <row r="51" hidden="1" outlineLevel="1" collapsed="1" ht="12" customHeight="1">
      <c r="A51" s="1683" t="n"/>
      <c r="B51" s="62" t="n"/>
      <c r="C51" s="2908" t="inlineStr">
        <is>
          <t>Unbilled revenue</t>
        </is>
      </c>
      <c r="D51" s="393" t="n"/>
      <c r="E51" s="393" t="n"/>
      <c r="F51" s="402">
        <f>SUM(F50:F50)</f>
        <v/>
      </c>
      <c r="G51" s="402">
        <f>SUM(G50:G50)</f>
        <v/>
      </c>
      <c r="H51" s="402">
        <f>SUM(H50:H50)</f>
        <v/>
      </c>
      <c r="I51" s="402">
        <f>SUM(I50:I50)</f>
        <v/>
      </c>
      <c r="J51" s="407">
        <f>SUM(J50:J50)</f>
        <v/>
      </c>
      <c r="K51" s="402">
        <f>SUM(K50:K50)</f>
        <v/>
      </c>
      <c r="L51" s="402">
        <f>SUM(L50:L50)</f>
        <v/>
      </c>
      <c r="M51" s="402">
        <f>SUM(M50:M50)</f>
        <v/>
      </c>
      <c r="N51" s="407">
        <f>SUM(N50:N50)</f>
        <v/>
      </c>
      <c r="O51" s="402">
        <f>SUM(O50:O50)</f>
        <v/>
      </c>
      <c r="P51" s="402">
        <f>SUM(P50:P50)</f>
        <v/>
      </c>
      <c r="Q51" s="402">
        <f>SUM(Q50:Q50)</f>
        <v/>
      </c>
      <c r="R51" s="402">
        <f>SUM(R50:R50)</f>
        <v/>
      </c>
      <c r="T51" s="593">
        <f>I51-SUM(K51:N51)</f>
        <v/>
      </c>
      <c r="U51" s="593">
        <f>J51-SUM(O51:R51)</f>
        <v/>
      </c>
    </row>
    <row r="52" collapsed="1" ht="12" customHeight="1">
      <c r="A52" s="1683" t="n"/>
      <c r="B52" s="62" t="n"/>
      <c r="C52" s="6" t="inlineStr">
        <is>
          <t xml:space="preserve">Current assets </t>
        </is>
      </c>
      <c r="F52" s="2">
        <f>SUM(F51,F49,F41,F37,F26,F16)</f>
        <v/>
      </c>
      <c r="G52" s="2">
        <f>SUM(G51,G49,G41,G37,G26,G16)</f>
        <v/>
      </c>
      <c r="H52" s="2">
        <f>SUM(H51,H49,H41,H37,H26,H16)</f>
        <v/>
      </c>
      <c r="I52" s="2">
        <f>SUM(I51,I49,I41,I37,I26,I16)</f>
        <v/>
      </c>
      <c r="J52" s="406">
        <f>SUM(J51,J49,J41,J37,J26,J16)</f>
        <v/>
      </c>
      <c r="K52" s="2">
        <f>SUM(K51,K49,K41,K37,K26,K16)</f>
        <v/>
      </c>
      <c r="L52" s="2">
        <f>SUM(L51,L49,L41,L37,L26,L16)</f>
        <v/>
      </c>
      <c r="M52" s="2">
        <f>SUM(M51,M49,M41,M37,M26,M16)</f>
        <v/>
      </c>
      <c r="N52" s="406">
        <f>SUM(N51,N49,N41,N37,N26,N16)</f>
        <v/>
      </c>
      <c r="O52" s="2">
        <f>SUM(O51,O49,O41,O37,O26,O16)</f>
        <v/>
      </c>
      <c r="P52" s="2">
        <f>SUM(P51,P49,P41,P37,P26,P16)</f>
        <v/>
      </c>
      <c r="Q52" s="2">
        <f>SUM(Q51,Q49,Q41,Q37,Q26,Q16)</f>
        <v/>
      </c>
      <c r="R52" s="2">
        <f>SUM(R51,R49,R41,R37,R26,R16)</f>
        <v/>
      </c>
      <c r="T52" s="593">
        <f>I52-SUM(K52:N52)</f>
        <v/>
      </c>
      <c r="U52" s="593">
        <f>J52-SUM(O52:R52)</f>
        <v/>
      </c>
    </row>
    <row r="53" hidden="1" outlineLevel="2" ht="12" customHeight="1">
      <c r="A53" s="1683" t="n"/>
      <c r="B53" s="62" t="n"/>
      <c r="C53" s="395" t="inlineStr">
        <is>
          <t>Data processing equipment</t>
        </is>
      </c>
      <c r="D53" s="6" t="n">
        <v>150801</v>
      </c>
      <c r="E53" s="6" t="inlineStr">
        <is>
          <t>150801 - Data Processing Equipment</t>
        </is>
      </c>
      <c r="F53" s="2">
        <f>'Balance sheet'!AV53</f>
        <v/>
      </c>
      <c r="G53" s="2">
        <f>'Balance sheet'!AW53</f>
        <v/>
      </c>
      <c r="H53" s="2">
        <f>'Balance sheet'!AX53</f>
        <v/>
      </c>
      <c r="I53" s="2">
        <f>'Balance sheet'!AY53</f>
        <v/>
      </c>
      <c r="J53" s="406">
        <f>'Balance sheet'!AZ53</f>
        <v/>
      </c>
      <c r="K53" s="2" t="n">
        <v>0</v>
      </c>
      <c r="L53" s="2">
        <f>I53</f>
        <v/>
      </c>
      <c r="M53" s="2" t="n">
        <v>0</v>
      </c>
      <c r="N53" s="406" t="n">
        <v>0</v>
      </c>
      <c r="O53" s="2" t="n">
        <v>0</v>
      </c>
      <c r="P53" s="2">
        <f>J53</f>
        <v/>
      </c>
      <c r="Q53" s="2" t="n">
        <v>0</v>
      </c>
      <c r="R53" s="2" t="n">
        <v>0</v>
      </c>
      <c r="T53" s="593">
        <f>I53-SUM(K53:N53)</f>
        <v/>
      </c>
      <c r="U53" s="593">
        <f>J53-SUM(O53:R53)</f>
        <v/>
      </c>
    </row>
    <row r="54" hidden="1" outlineLevel="2" ht="12" customHeight="1">
      <c r="A54" s="334" t="n"/>
      <c r="B54" s="62" t="n"/>
      <c r="C54" s="395" t="inlineStr">
        <is>
          <t>Building - rou asset</t>
        </is>
      </c>
      <c r="D54" s="6" t="n">
        <v>150401</v>
      </c>
      <c r="E54" s="6" t="inlineStr">
        <is>
          <t>150401 - Building - ROU Asset</t>
        </is>
      </c>
      <c r="F54" s="2">
        <f>'Balance sheet'!AV54</f>
        <v/>
      </c>
      <c r="G54" s="2">
        <f>'Balance sheet'!AW54</f>
        <v/>
      </c>
      <c r="H54" s="2">
        <f>'Balance sheet'!AX54</f>
        <v/>
      </c>
      <c r="I54" s="2">
        <f>'Balance sheet'!AY54</f>
        <v/>
      </c>
      <c r="J54" s="406">
        <f>'Balance sheet'!AZ54</f>
        <v/>
      </c>
      <c r="K54" s="2" t="n">
        <v>0</v>
      </c>
      <c r="L54" s="2">
        <f>I54</f>
        <v/>
      </c>
      <c r="M54" s="2" t="n">
        <v>0</v>
      </c>
      <c r="N54" s="406" t="n">
        <v>0</v>
      </c>
      <c r="O54" s="2" t="n">
        <v>0</v>
      </c>
      <c r="P54" s="2">
        <f>J54</f>
        <v/>
      </c>
      <c r="Q54" s="2" t="n">
        <v>0</v>
      </c>
      <c r="R54" s="2" t="n">
        <v>0</v>
      </c>
      <c r="T54" s="593">
        <f>I54-SUM(K54:N54)</f>
        <v/>
      </c>
      <c r="U54" s="593">
        <f>J54-SUM(O54:R54)</f>
        <v/>
      </c>
    </row>
    <row r="55" hidden="1" outlineLevel="2" ht="12" customHeight="1">
      <c r="A55" s="1683" t="n"/>
      <c r="B55" s="62" t="n"/>
      <c r="C55" s="395" t="inlineStr">
        <is>
          <t>Leased asset</t>
        </is>
      </c>
      <c r="D55" s="6" t="n">
        <v>150920</v>
      </c>
      <c r="E55" s="6" t="inlineStr">
        <is>
          <t>150920 - Leased Asset</t>
        </is>
      </c>
      <c r="F55" s="2">
        <f>'Balance sheet'!AV55</f>
        <v/>
      </c>
      <c r="G55" s="2">
        <f>'Balance sheet'!AW55</f>
        <v/>
      </c>
      <c r="H55" s="2">
        <f>'Balance sheet'!AX55</f>
        <v/>
      </c>
      <c r="I55" s="2">
        <f>'Balance sheet'!AY55</f>
        <v/>
      </c>
      <c r="J55" s="406">
        <f>'Balance sheet'!AZ55</f>
        <v/>
      </c>
      <c r="K55" s="2" t="n">
        <v>0</v>
      </c>
      <c r="L55" s="2">
        <f>I55</f>
        <v/>
      </c>
      <c r="M55" s="2" t="n">
        <v>0</v>
      </c>
      <c r="N55" s="406" t="n">
        <v>0</v>
      </c>
      <c r="O55" s="2" t="n">
        <v>0</v>
      </c>
      <c r="P55" s="2">
        <f>J55</f>
        <v/>
      </c>
      <c r="Q55" s="2" t="n">
        <v>0</v>
      </c>
      <c r="R55" s="2" t="n">
        <v>0</v>
      </c>
      <c r="T55" s="593">
        <f>I55-SUM(K55:N55)</f>
        <v/>
      </c>
      <c r="U55" s="593">
        <f>J55-SUM(O55:R55)</f>
        <v/>
      </c>
    </row>
    <row r="56" hidden="1" outlineLevel="2" ht="12" customHeight="1">
      <c r="A56" s="1683" t="n"/>
      <c r="B56" s="62" t="n"/>
      <c r="C56" s="395" t="inlineStr">
        <is>
          <t>Leasehold improvements</t>
        </is>
      </c>
      <c r="D56" s="6" t="n">
        <v>150501</v>
      </c>
      <c r="E56" s="6" t="inlineStr">
        <is>
          <t>150501 - Leasehold Improvements</t>
        </is>
      </c>
      <c r="F56" s="2">
        <f>'Balance sheet'!AV56</f>
        <v/>
      </c>
      <c r="G56" s="2">
        <f>'Balance sheet'!AW56</f>
        <v/>
      </c>
      <c r="H56" s="2">
        <f>'Balance sheet'!AX56</f>
        <v/>
      </c>
      <c r="I56" s="2">
        <f>'Balance sheet'!AY56</f>
        <v/>
      </c>
      <c r="J56" s="406">
        <f>'Balance sheet'!AZ56</f>
        <v/>
      </c>
      <c r="K56" s="2" t="n">
        <v>0</v>
      </c>
      <c r="L56" s="2">
        <f>I56</f>
        <v/>
      </c>
      <c r="M56" s="2" t="n">
        <v>0</v>
      </c>
      <c r="N56" s="406" t="n">
        <v>0</v>
      </c>
      <c r="O56" s="2" t="n">
        <v>0</v>
      </c>
      <c r="P56" s="2">
        <f>J56</f>
        <v/>
      </c>
      <c r="Q56" s="2" t="n">
        <v>0</v>
      </c>
      <c r="R56" s="2" t="n">
        <v>0</v>
      </c>
      <c r="T56" s="593">
        <f>I56-SUM(K56:N56)</f>
        <v/>
      </c>
      <c r="U56" s="593">
        <f>J56-SUM(O56:R56)</f>
        <v/>
      </c>
    </row>
    <row r="57" hidden="1" outlineLevel="2" ht="12" customHeight="1">
      <c r="A57" s="1683" t="n"/>
      <c r="B57" s="62" t="n"/>
      <c r="C57" s="395" t="inlineStr">
        <is>
          <t>Capitalize HW implementation</t>
        </is>
      </c>
      <c r="D57" s="6" t="n">
        <v>150901</v>
      </c>
      <c r="E57" s="6" t="inlineStr">
        <is>
          <t>150901 - Capitalize HW Implementation</t>
        </is>
      </c>
      <c r="F57" s="2">
        <f>'Balance sheet'!AV57</f>
        <v/>
      </c>
      <c r="G57" s="2">
        <f>'Balance sheet'!AW57</f>
        <v/>
      </c>
      <c r="H57" s="2">
        <f>'Balance sheet'!AX57</f>
        <v/>
      </c>
      <c r="I57" s="2">
        <f>'Balance sheet'!AY57</f>
        <v/>
      </c>
      <c r="J57" s="406">
        <f>'Balance sheet'!AZ57</f>
        <v/>
      </c>
      <c r="K57" s="2" t="n">
        <v>0</v>
      </c>
      <c r="L57" s="2">
        <f>I57</f>
        <v/>
      </c>
      <c r="M57" s="2" t="n">
        <v>0</v>
      </c>
      <c r="N57" s="406" t="n">
        <v>0</v>
      </c>
      <c r="O57" s="2" t="n">
        <v>0</v>
      </c>
      <c r="P57" s="2">
        <f>J57</f>
        <v/>
      </c>
      <c r="Q57" s="2" t="n">
        <v>0</v>
      </c>
      <c r="R57" s="2" t="n">
        <v>0</v>
      </c>
      <c r="T57" s="593">
        <f>I57-SUM(K57:N57)</f>
        <v/>
      </c>
      <c r="U57" s="593">
        <f>J57-SUM(O57:R57)</f>
        <v/>
      </c>
    </row>
    <row r="58" hidden="1" outlineLevel="2" ht="12" customHeight="1">
      <c r="A58" s="1683" t="n"/>
      <c r="B58" s="62" t="n"/>
      <c r="C58" s="395" t="inlineStr">
        <is>
          <t>Network equipment</t>
        </is>
      </c>
      <c r="D58" s="6" t="n">
        <v>150820</v>
      </c>
      <c r="E58" s="6" t="inlineStr">
        <is>
          <t>150820 - Network Equipment</t>
        </is>
      </c>
      <c r="F58" s="2">
        <f>'Balance sheet'!AV58</f>
        <v/>
      </c>
      <c r="G58" s="2">
        <f>'Balance sheet'!AW58</f>
        <v/>
      </c>
      <c r="H58" s="2">
        <f>'Balance sheet'!AX58</f>
        <v/>
      </c>
      <c r="I58" s="2">
        <f>'Balance sheet'!AY58</f>
        <v/>
      </c>
      <c r="J58" s="406">
        <f>'Balance sheet'!AZ58</f>
        <v/>
      </c>
      <c r="K58" s="2" t="n">
        <v>0</v>
      </c>
      <c r="L58" s="2">
        <f>I58</f>
        <v/>
      </c>
      <c r="M58" s="2" t="n">
        <v>0</v>
      </c>
      <c r="N58" s="406" t="n">
        <v>0</v>
      </c>
      <c r="O58" s="2" t="n">
        <v>0</v>
      </c>
      <c r="P58" s="2">
        <f>J58</f>
        <v/>
      </c>
      <c r="Q58" s="2" t="n">
        <v>0</v>
      </c>
      <c r="R58" s="2" t="n">
        <v>0</v>
      </c>
      <c r="T58" s="593">
        <f>I58-SUM(K58:N58)</f>
        <v/>
      </c>
      <c r="U58" s="593">
        <f>J58-SUM(O58:R58)</f>
        <v/>
      </c>
    </row>
    <row r="59" hidden="1" outlineLevel="2" ht="12" customHeight="1">
      <c r="A59" s="1683" t="n"/>
      <c r="B59" s="62" t="n"/>
      <c r="C59" s="395" t="inlineStr">
        <is>
          <t>Furniture and fixtures</t>
        </is>
      </c>
      <c r="D59" s="6" t="n">
        <v>150601</v>
      </c>
      <c r="E59" s="6" t="inlineStr">
        <is>
          <t>150601 - Furniture and Fixtures</t>
        </is>
      </c>
      <c r="F59" s="2">
        <f>'Balance sheet'!AV59</f>
        <v/>
      </c>
      <c r="G59" s="2">
        <f>'Balance sheet'!AW59</f>
        <v/>
      </c>
      <c r="H59" s="2">
        <f>'Balance sheet'!AX59</f>
        <v/>
      </c>
      <c r="I59" s="2">
        <f>'Balance sheet'!AY59</f>
        <v/>
      </c>
      <c r="J59" s="406">
        <f>'Balance sheet'!AZ59</f>
        <v/>
      </c>
      <c r="K59" s="2" t="n">
        <v>0</v>
      </c>
      <c r="L59" s="2">
        <f>I59</f>
        <v/>
      </c>
      <c r="M59" s="2" t="n">
        <v>0</v>
      </c>
      <c r="N59" s="406" t="n">
        <v>0</v>
      </c>
      <c r="O59" s="2" t="n">
        <v>0</v>
      </c>
      <c r="P59" s="2">
        <f>J59</f>
        <v/>
      </c>
      <c r="Q59" s="2" t="n">
        <v>0</v>
      </c>
      <c r="R59" s="2" t="n">
        <v>0</v>
      </c>
      <c r="T59" s="593">
        <f>I59-SUM(K59:N59)</f>
        <v/>
      </c>
      <c r="U59" s="593">
        <f>J59-SUM(O59:R59)</f>
        <v/>
      </c>
    </row>
    <row r="60" hidden="1" outlineLevel="2" ht="12" customHeight="1">
      <c r="A60" s="1683" t="n"/>
      <c r="B60" s="62" t="n"/>
      <c r="C60" s="395" t="inlineStr">
        <is>
          <t>Purchased fixed assets - WIP</t>
        </is>
      </c>
      <c r="D60" s="6" t="n">
        <v>151101</v>
      </c>
      <c r="E60" s="6" t="inlineStr">
        <is>
          <t>151101 - Purchased Fixed Assets - WIP</t>
        </is>
      </c>
      <c r="F60" s="2">
        <f>'Balance sheet'!AV60</f>
        <v/>
      </c>
      <c r="G60" s="2">
        <f>'Balance sheet'!AW60</f>
        <v/>
      </c>
      <c r="H60" s="2">
        <f>'Balance sheet'!AX60</f>
        <v/>
      </c>
      <c r="I60" s="2">
        <f>'Balance sheet'!AY60</f>
        <v/>
      </c>
      <c r="J60" s="406">
        <f>'Balance sheet'!AZ60</f>
        <v/>
      </c>
      <c r="K60" s="2" t="n">
        <v>0</v>
      </c>
      <c r="L60" s="2">
        <f>I60</f>
        <v/>
      </c>
      <c r="M60" s="2" t="n">
        <v>0</v>
      </c>
      <c r="N60" s="406" t="n">
        <v>0</v>
      </c>
      <c r="O60" s="2" t="n">
        <v>0</v>
      </c>
      <c r="P60" s="2">
        <f>J60</f>
        <v/>
      </c>
      <c r="Q60" s="2" t="n">
        <v>0</v>
      </c>
      <c r="R60" s="2" t="n">
        <v>0</v>
      </c>
      <c r="T60" s="593">
        <f>I60-SUM(K60:N60)</f>
        <v/>
      </c>
      <c r="U60" s="593">
        <f>J60-SUM(O60:R60)</f>
        <v/>
      </c>
    </row>
    <row r="61" hidden="1" outlineLevel="2" ht="12" customHeight="1">
      <c r="A61" s="1683" t="n"/>
      <c r="B61" s="62" t="n"/>
      <c r="C61" s="395" t="inlineStr">
        <is>
          <t>Office equipment</t>
        </is>
      </c>
      <c r="D61" s="6" t="n">
        <v>150701</v>
      </c>
      <c r="E61" s="6" t="inlineStr">
        <is>
          <t>150701 - Office Equipment</t>
        </is>
      </c>
      <c r="F61" s="2">
        <f>'Balance sheet'!AV61</f>
        <v/>
      </c>
      <c r="G61" s="2">
        <f>'Balance sheet'!AW61</f>
        <v/>
      </c>
      <c r="H61" s="2">
        <f>'Balance sheet'!AX61</f>
        <v/>
      </c>
      <c r="I61" s="2">
        <f>'Balance sheet'!AY61</f>
        <v/>
      </c>
      <c r="J61" s="406">
        <f>'Balance sheet'!AZ61</f>
        <v/>
      </c>
      <c r="K61" s="2" t="n">
        <v>0</v>
      </c>
      <c r="L61" s="2">
        <f>I61</f>
        <v/>
      </c>
      <c r="M61" s="2" t="n">
        <v>0</v>
      </c>
      <c r="N61" s="406" t="n">
        <v>0</v>
      </c>
      <c r="O61" s="2" t="n">
        <v>0</v>
      </c>
      <c r="P61" s="2">
        <f>J61</f>
        <v/>
      </c>
      <c r="Q61" s="2" t="n">
        <v>0</v>
      </c>
      <c r="R61" s="2" t="n">
        <v>0</v>
      </c>
      <c r="T61" s="593">
        <f>I61-SUM(K61:N61)</f>
        <v/>
      </c>
      <c r="U61" s="593">
        <f>J61-SUM(O61:R61)</f>
        <v/>
      </c>
    </row>
    <row r="62" hidden="1" outlineLevel="2" ht="12" customHeight="1">
      <c r="A62" s="1683" t="n"/>
      <c r="B62" s="62" t="n"/>
      <c r="C62" s="395" t="inlineStr">
        <is>
          <t>Network equipment - WIP</t>
        </is>
      </c>
      <c r="D62" s="6" t="n">
        <v>151120</v>
      </c>
      <c r="E62" s="6" t="inlineStr">
        <is>
          <t>151120 - Network Equipment - WIP</t>
        </is>
      </c>
      <c r="F62" s="2">
        <f>'Balance sheet'!AV62</f>
        <v/>
      </c>
      <c r="G62" s="2">
        <f>'Balance sheet'!AW62</f>
        <v/>
      </c>
      <c r="H62" s="2">
        <f>'Balance sheet'!AX62</f>
        <v/>
      </c>
      <c r="I62" s="2">
        <f>'Balance sheet'!AY62</f>
        <v/>
      </c>
      <c r="J62" s="406">
        <f>'Balance sheet'!AZ62</f>
        <v/>
      </c>
      <c r="K62" s="2" t="n">
        <v>0</v>
      </c>
      <c r="L62" s="2">
        <f>I62</f>
        <v/>
      </c>
      <c r="M62" s="2" t="n">
        <v>0</v>
      </c>
      <c r="N62" s="406" t="n">
        <v>0</v>
      </c>
      <c r="O62" s="2" t="n">
        <v>0</v>
      </c>
      <c r="P62" s="2">
        <f>J62</f>
        <v/>
      </c>
      <c r="Q62" s="2" t="n">
        <v>0</v>
      </c>
      <c r="R62" s="2" t="n">
        <v>0</v>
      </c>
      <c r="T62" s="593">
        <f>I62-SUM(K62:N62)</f>
        <v/>
      </c>
      <c r="U62" s="593">
        <f>J62-SUM(O62:R62)</f>
        <v/>
      </c>
    </row>
    <row r="63" hidden="1" outlineLevel="2" ht="12" customHeight="1">
      <c r="A63" s="1683" t="n"/>
      <c r="B63" s="62" t="n"/>
      <c r="C63" s="395" t="inlineStr">
        <is>
          <t>Cap HW implementation - WIP</t>
        </is>
      </c>
      <c r="D63" s="6" t="n">
        <v>151105</v>
      </c>
      <c r="E63" s="6" t="inlineStr">
        <is>
          <t>151105 - Cap HW implementation - WIP</t>
        </is>
      </c>
      <c r="F63" s="2">
        <f>'Balance sheet'!AV63</f>
        <v/>
      </c>
      <c r="G63" s="2">
        <f>'Balance sheet'!AW63</f>
        <v/>
      </c>
      <c r="H63" s="2">
        <f>'Balance sheet'!AX63</f>
        <v/>
      </c>
      <c r="I63" s="2">
        <f>'Balance sheet'!AY63</f>
        <v/>
      </c>
      <c r="J63" s="406">
        <f>'Balance sheet'!AZ63</f>
        <v/>
      </c>
      <c r="K63" s="2" t="n">
        <v>0</v>
      </c>
      <c r="L63" s="2">
        <f>I63</f>
        <v/>
      </c>
      <c r="M63" s="2" t="n">
        <v>0</v>
      </c>
      <c r="N63" s="406" t="n">
        <v>0</v>
      </c>
      <c r="O63" s="2" t="n">
        <v>0</v>
      </c>
      <c r="P63" s="2">
        <f>J63</f>
        <v/>
      </c>
      <c r="Q63" s="2" t="n">
        <v>0</v>
      </c>
      <c r="R63" s="2" t="n">
        <v>0</v>
      </c>
      <c r="T63" s="593">
        <f>I63-SUM(K63:N63)</f>
        <v/>
      </c>
      <c r="U63" s="593">
        <f>J63-SUM(O63:R63)</f>
        <v/>
      </c>
    </row>
    <row r="64" hidden="1" outlineLevel="2" ht="12" customHeight="1">
      <c r="A64" s="337" t="n"/>
      <c r="B64" s="338" t="n"/>
      <c r="C64" s="395" t="inlineStr">
        <is>
          <t>Accum dep - office equipment</t>
        </is>
      </c>
      <c r="D64" s="6" t="n">
        <v>155701</v>
      </c>
      <c r="E64" s="6" t="inlineStr">
        <is>
          <t>155701 - Accum Dep - Office Equipment</t>
        </is>
      </c>
      <c r="F64" s="2">
        <f>'Balance sheet'!AV64</f>
        <v/>
      </c>
      <c r="G64" s="2">
        <f>'Balance sheet'!AW64</f>
        <v/>
      </c>
      <c r="H64" s="2">
        <f>'Balance sheet'!AX64</f>
        <v/>
      </c>
      <c r="I64" s="2">
        <f>'Balance sheet'!AY64</f>
        <v/>
      </c>
      <c r="J64" s="406">
        <f>'Balance sheet'!AZ64</f>
        <v/>
      </c>
      <c r="K64" s="2" t="n">
        <v>0</v>
      </c>
      <c r="L64" s="2">
        <f>I64</f>
        <v/>
      </c>
      <c r="M64" s="2" t="n">
        <v>0</v>
      </c>
      <c r="N64" s="406" t="n">
        <v>0</v>
      </c>
      <c r="O64" s="2" t="n">
        <v>0</v>
      </c>
      <c r="P64" s="2">
        <f>J64</f>
        <v/>
      </c>
      <c r="Q64" s="2" t="n">
        <v>0</v>
      </c>
      <c r="R64" s="2" t="n">
        <v>0</v>
      </c>
      <c r="T64" s="593">
        <f>I64-SUM(K64:N64)</f>
        <v/>
      </c>
      <c r="U64" s="593">
        <f>J64-SUM(O64:R64)</f>
        <v/>
      </c>
    </row>
    <row r="65" hidden="1" outlineLevel="2" ht="12" customHeight="1">
      <c r="A65" s="337" t="n"/>
      <c r="B65" s="338" t="n"/>
      <c r="C65" s="395" t="inlineStr">
        <is>
          <t>Accum depr - network equipment</t>
        </is>
      </c>
      <c r="D65" s="6" t="n">
        <v>155820</v>
      </c>
      <c r="E65" s="6" t="inlineStr">
        <is>
          <t>155820 - Accum Depr - Network Equipment</t>
        </is>
      </c>
      <c r="F65" s="2">
        <f>'Balance sheet'!AV65</f>
        <v/>
      </c>
      <c r="G65" s="2">
        <f>'Balance sheet'!AW65</f>
        <v/>
      </c>
      <c r="H65" s="2">
        <f>'Balance sheet'!AX65</f>
        <v/>
      </c>
      <c r="I65" s="2">
        <f>'Balance sheet'!AY65</f>
        <v/>
      </c>
      <c r="J65" s="406">
        <f>'Balance sheet'!AZ65</f>
        <v/>
      </c>
      <c r="K65" s="2" t="n">
        <v>0</v>
      </c>
      <c r="L65" s="2">
        <f>I65</f>
        <v/>
      </c>
      <c r="M65" s="2" t="n">
        <v>0</v>
      </c>
      <c r="N65" s="406" t="n">
        <v>0</v>
      </c>
      <c r="O65" s="2" t="n">
        <v>0</v>
      </c>
      <c r="P65" s="2">
        <f>J65</f>
        <v/>
      </c>
      <c r="Q65" s="2" t="n">
        <v>0</v>
      </c>
      <c r="R65" s="2" t="n">
        <v>0</v>
      </c>
      <c r="T65" s="593">
        <f>I65-SUM(K65:N65)</f>
        <v/>
      </c>
      <c r="U65" s="593">
        <f>J65-SUM(O65:R65)</f>
        <v/>
      </c>
    </row>
    <row r="66" hidden="1" outlineLevel="2" ht="12" customHeight="1">
      <c r="A66" s="1683" t="n"/>
      <c r="B66" s="62" t="n"/>
      <c r="C66" s="395" t="inlineStr">
        <is>
          <t>Accum dep - furniture and fixtures</t>
        </is>
      </c>
      <c r="D66" s="6" t="n">
        <v>155601</v>
      </c>
      <c r="E66" s="6" t="inlineStr">
        <is>
          <t>155601 - Accum Dep - Furniture and Fixtures</t>
        </is>
      </c>
      <c r="F66" s="2">
        <f>'Balance sheet'!AV66</f>
        <v/>
      </c>
      <c r="G66" s="2">
        <f>'Balance sheet'!AW66</f>
        <v/>
      </c>
      <c r="H66" s="2">
        <f>'Balance sheet'!AX66</f>
        <v/>
      </c>
      <c r="I66" s="2">
        <f>'Balance sheet'!AY66</f>
        <v/>
      </c>
      <c r="J66" s="406">
        <f>'Balance sheet'!AZ66</f>
        <v/>
      </c>
      <c r="K66" s="2" t="n">
        <v>0</v>
      </c>
      <c r="L66" s="2">
        <f>I66</f>
        <v/>
      </c>
      <c r="M66" s="2" t="n">
        <v>0</v>
      </c>
      <c r="N66" s="406" t="n">
        <v>0</v>
      </c>
      <c r="O66" s="2" t="n">
        <v>0</v>
      </c>
      <c r="P66" s="2">
        <f>J66</f>
        <v/>
      </c>
      <c r="Q66" s="2" t="n">
        <v>0</v>
      </c>
      <c r="R66" s="2" t="n">
        <v>0</v>
      </c>
      <c r="T66" s="593">
        <f>I66-SUM(K66:N66)</f>
        <v/>
      </c>
      <c r="U66" s="593">
        <f>J66-SUM(O66:R66)</f>
        <v/>
      </c>
    </row>
    <row r="67" hidden="1" outlineLevel="2" ht="12" customHeight="1">
      <c r="A67" s="1683" t="n"/>
      <c r="B67" s="62" t="n"/>
      <c r="C67" s="395" t="inlineStr">
        <is>
          <t>Accum dep - cap HW implementation</t>
        </is>
      </c>
      <c r="D67" s="6" t="n">
        <v>155901</v>
      </c>
      <c r="E67" s="6" t="inlineStr">
        <is>
          <t>155901 - Accum Dep - Cap HW Implementation</t>
        </is>
      </c>
      <c r="F67" s="2">
        <f>'Balance sheet'!AV67</f>
        <v/>
      </c>
      <c r="G67" s="2">
        <f>'Balance sheet'!AW67</f>
        <v/>
      </c>
      <c r="H67" s="2">
        <f>'Balance sheet'!AX67</f>
        <v/>
      </c>
      <c r="I67" s="2">
        <f>'Balance sheet'!AY67</f>
        <v/>
      </c>
      <c r="J67" s="406">
        <f>'Balance sheet'!AZ67</f>
        <v/>
      </c>
      <c r="K67" s="2" t="n">
        <v>0</v>
      </c>
      <c r="L67" s="2">
        <f>I67</f>
        <v/>
      </c>
      <c r="M67" s="2" t="n">
        <v>0</v>
      </c>
      <c r="N67" s="406" t="n">
        <v>0</v>
      </c>
      <c r="O67" s="2" t="n">
        <v>0</v>
      </c>
      <c r="P67" s="2">
        <f>J67</f>
        <v/>
      </c>
      <c r="Q67" s="2" t="n">
        <v>0</v>
      </c>
      <c r="R67" s="2" t="n">
        <v>0</v>
      </c>
      <c r="T67" s="593">
        <f>I67-SUM(K67:N67)</f>
        <v/>
      </c>
      <c r="U67" s="593">
        <f>J67-SUM(O67:R67)</f>
        <v/>
      </c>
    </row>
    <row r="68" hidden="1" outlineLevel="2" ht="12" customHeight="1">
      <c r="A68" s="1683" t="n"/>
      <c r="B68" s="62" t="n"/>
      <c r="C68" s="395" t="inlineStr">
        <is>
          <t>Accum depr - leased asset</t>
        </is>
      </c>
      <c r="D68" s="6" t="n">
        <v>155920</v>
      </c>
      <c r="E68" s="6" t="inlineStr">
        <is>
          <t>155920 - Accum Depr - Leased Asset</t>
        </is>
      </c>
      <c r="F68" s="2">
        <f>'Balance sheet'!AV68</f>
        <v/>
      </c>
      <c r="G68" s="2">
        <f>'Balance sheet'!AW68</f>
        <v/>
      </c>
      <c r="H68" s="2">
        <f>'Balance sheet'!AX68</f>
        <v/>
      </c>
      <c r="I68" s="2">
        <f>'Balance sheet'!AY68</f>
        <v/>
      </c>
      <c r="J68" s="406">
        <f>'Balance sheet'!AZ68</f>
        <v/>
      </c>
      <c r="K68" s="2" t="n">
        <v>0</v>
      </c>
      <c r="L68" s="2">
        <f>I68</f>
        <v/>
      </c>
      <c r="M68" s="2" t="n">
        <v>0</v>
      </c>
      <c r="N68" s="406" t="n">
        <v>0</v>
      </c>
      <c r="O68" s="2" t="n">
        <v>0</v>
      </c>
      <c r="P68" s="2">
        <f>J68</f>
        <v/>
      </c>
      <c r="Q68" s="2" t="n">
        <v>0</v>
      </c>
      <c r="R68" s="2" t="n">
        <v>0</v>
      </c>
      <c r="T68" s="593">
        <f>I68-SUM(K68:N68)</f>
        <v/>
      </c>
      <c r="U68" s="593">
        <f>J68-SUM(O68:R68)</f>
        <v/>
      </c>
    </row>
    <row r="69" hidden="1" outlineLevel="2" ht="12" customHeight="1">
      <c r="A69" s="1683" t="n"/>
      <c r="B69" s="62" t="n"/>
      <c r="C69" s="395" t="inlineStr">
        <is>
          <t>Accum dep - leasehold improvements</t>
        </is>
      </c>
      <c r="D69" s="6" t="n">
        <v>155501</v>
      </c>
      <c r="E69" s="6" t="inlineStr">
        <is>
          <t>155501 - Accum Dep - Leasehold Improvements</t>
        </is>
      </c>
      <c r="F69" s="2">
        <f>'Balance sheet'!AV69</f>
        <v/>
      </c>
      <c r="G69" s="2">
        <f>'Balance sheet'!AW69</f>
        <v/>
      </c>
      <c r="H69" s="2">
        <f>'Balance sheet'!AX69</f>
        <v/>
      </c>
      <c r="I69" s="2">
        <f>'Balance sheet'!AY69</f>
        <v/>
      </c>
      <c r="J69" s="406">
        <f>'Balance sheet'!AZ69</f>
        <v/>
      </c>
      <c r="K69" s="2" t="n">
        <v>0</v>
      </c>
      <c r="L69" s="2">
        <f>I69</f>
        <v/>
      </c>
      <c r="M69" s="2" t="n">
        <v>0</v>
      </c>
      <c r="N69" s="406" t="n">
        <v>0</v>
      </c>
      <c r="O69" s="2" t="n">
        <v>0</v>
      </c>
      <c r="P69" s="2">
        <f>J69</f>
        <v/>
      </c>
      <c r="Q69" s="2" t="n">
        <v>0</v>
      </c>
      <c r="R69" s="2" t="n">
        <v>0</v>
      </c>
      <c r="T69" s="593">
        <f>I69-SUM(K69:N69)</f>
        <v/>
      </c>
      <c r="U69" s="593">
        <f>J69-SUM(O69:R69)</f>
        <v/>
      </c>
    </row>
    <row r="70" hidden="1" outlineLevel="2" ht="12" customHeight="1">
      <c r="A70" s="1683" t="n"/>
      <c r="B70" s="62" t="n"/>
      <c r="C70" s="395" t="inlineStr">
        <is>
          <t>Accum dep - building rou asset</t>
        </is>
      </c>
      <c r="D70" s="6" t="n">
        <v>155401</v>
      </c>
      <c r="E70" s="6" t="inlineStr">
        <is>
          <t>155401 - Accum Dep - Building ROU Asset</t>
        </is>
      </c>
      <c r="F70" s="2">
        <f>'Balance sheet'!AV70</f>
        <v/>
      </c>
      <c r="G70" s="2">
        <f>'Balance sheet'!AW70</f>
        <v/>
      </c>
      <c r="H70" s="2">
        <f>'Balance sheet'!AX70</f>
        <v/>
      </c>
      <c r="I70" s="2">
        <f>'Balance sheet'!AY70</f>
        <v/>
      </c>
      <c r="J70" s="406">
        <f>'Balance sheet'!AZ70</f>
        <v/>
      </c>
      <c r="K70" s="2" t="n">
        <v>0</v>
      </c>
      <c r="L70" s="2">
        <f>I70</f>
        <v/>
      </c>
      <c r="M70" s="2" t="n">
        <v>0</v>
      </c>
      <c r="N70" s="406" t="n">
        <v>0</v>
      </c>
      <c r="O70" s="2" t="n">
        <v>0</v>
      </c>
      <c r="P70" s="2">
        <f>J70</f>
        <v/>
      </c>
      <c r="Q70" s="2" t="n">
        <v>0</v>
      </c>
      <c r="R70" s="2" t="n">
        <v>0</v>
      </c>
      <c r="T70" s="593">
        <f>I70-SUM(K70:N70)</f>
        <v/>
      </c>
      <c r="U70" s="593">
        <f>J70-SUM(O70:R70)</f>
        <v/>
      </c>
    </row>
    <row r="71" hidden="1" outlineLevel="2" ht="12" customHeight="1">
      <c r="A71" s="1683" t="n"/>
      <c r="B71" s="62" t="n"/>
      <c r="C71" s="336" t="inlineStr">
        <is>
          <t>Accum dep - data processing equipment</t>
        </is>
      </c>
      <c r="D71" s="393" t="n">
        <v>155801</v>
      </c>
      <c r="E71" s="393" t="inlineStr">
        <is>
          <t>155801 - Accum Dep - Data Processing Equipment</t>
        </is>
      </c>
      <c r="F71" s="402">
        <f>'Balance sheet'!AV71</f>
        <v/>
      </c>
      <c r="G71" s="402">
        <f>'Balance sheet'!AW71</f>
        <v/>
      </c>
      <c r="H71" s="402">
        <f>'Balance sheet'!AX71</f>
        <v/>
      </c>
      <c r="I71" s="402">
        <f>'Balance sheet'!AY71</f>
        <v/>
      </c>
      <c r="J71" s="407">
        <f>'Balance sheet'!AZ71</f>
        <v/>
      </c>
      <c r="K71" s="402" t="n">
        <v>0</v>
      </c>
      <c r="L71" s="402">
        <f>I71</f>
        <v/>
      </c>
      <c r="M71" s="402" t="n">
        <v>0</v>
      </c>
      <c r="N71" s="407" t="n">
        <v>0</v>
      </c>
      <c r="O71" s="402" t="n">
        <v>0</v>
      </c>
      <c r="P71" s="402">
        <f>J71</f>
        <v/>
      </c>
      <c r="Q71" s="402" t="n">
        <v>0</v>
      </c>
      <c r="R71" s="402" t="n">
        <v>0</v>
      </c>
      <c r="T71" s="593">
        <f>I71-SUM(K71:N71)</f>
        <v/>
      </c>
      <c r="U71" s="593">
        <f>J71-SUM(O71:R71)</f>
        <v/>
      </c>
    </row>
    <row r="72" hidden="1" outlineLevel="1" collapsed="1" ht="12" customHeight="1">
      <c r="A72" s="1683" t="n"/>
      <c r="B72" s="62" t="n"/>
      <c r="C72" s="396" t="inlineStr">
        <is>
          <t xml:space="preserve">Property &amp; equipment </t>
        </is>
      </c>
      <c r="F72" s="2">
        <f>SUM(F53:F71)</f>
        <v/>
      </c>
      <c r="G72" s="2">
        <f>SUM(G53:G71)</f>
        <v/>
      </c>
      <c r="H72" s="2">
        <f>SUM(H53:H71)</f>
        <v/>
      </c>
      <c r="I72" s="2">
        <f>SUM(I53:I71)</f>
        <v/>
      </c>
      <c r="J72" s="406">
        <f>SUM(J53:J71)</f>
        <v/>
      </c>
      <c r="K72" s="2">
        <f>SUM(K53:K71)</f>
        <v/>
      </c>
      <c r="L72" s="2">
        <f>SUM(L53:L71)</f>
        <v/>
      </c>
      <c r="M72" s="2">
        <f>SUM(M53:M71)</f>
        <v/>
      </c>
      <c r="N72" s="406">
        <f>SUM(N53:N71)</f>
        <v/>
      </c>
      <c r="O72" s="2">
        <f>SUM(O53:O71)</f>
        <v/>
      </c>
      <c r="P72" s="2">
        <f>SUM(P53:P71)</f>
        <v/>
      </c>
      <c r="Q72" s="2">
        <f>SUM(Q53:Q71)</f>
        <v/>
      </c>
      <c r="R72" s="2">
        <f>SUM(R53:R71)</f>
        <v/>
      </c>
      <c r="T72" s="593">
        <f>I72-SUM(K72:N72)</f>
        <v/>
      </c>
      <c r="U72" s="593">
        <f>J72-SUM(O72:R72)</f>
        <v/>
      </c>
    </row>
    <row r="73" hidden="1" outlineLevel="2" ht="12" customHeight="1">
      <c r="A73" s="1683" t="n"/>
      <c r="B73" s="62" t="n"/>
      <c r="C73" s="395" t="inlineStr">
        <is>
          <t>IDSW - capitalized projects</t>
        </is>
      </c>
      <c r="D73" s="6" t="n">
        <v>170801</v>
      </c>
      <c r="E73" s="6" t="inlineStr">
        <is>
          <t>170801 - IDSW - Capitalized Projects</t>
        </is>
      </c>
      <c r="F73" s="2">
        <f>'Balance sheet'!AV73</f>
        <v/>
      </c>
      <c r="G73" s="2">
        <f>'Balance sheet'!AW73</f>
        <v/>
      </c>
      <c r="H73" s="2">
        <f>'Balance sheet'!AX73</f>
        <v/>
      </c>
      <c r="I73" s="2">
        <f>'Balance sheet'!AY73</f>
        <v/>
      </c>
      <c r="J73" s="406">
        <f>'Balance sheet'!AZ73</f>
        <v/>
      </c>
      <c r="K73" s="2" t="n">
        <v>0</v>
      </c>
      <c r="L73" s="2">
        <f>I73</f>
        <v/>
      </c>
      <c r="M73" s="2" t="n">
        <v>0</v>
      </c>
      <c r="N73" s="406" t="n">
        <v>0</v>
      </c>
      <c r="O73" s="2" t="n">
        <v>0</v>
      </c>
      <c r="P73" s="2">
        <f>J73</f>
        <v/>
      </c>
      <c r="Q73" s="2" t="n">
        <v>0</v>
      </c>
      <c r="R73" s="2" t="n">
        <v>0</v>
      </c>
      <c r="T73" s="593">
        <f>I73-SUM(K73:N73)</f>
        <v/>
      </c>
      <c r="U73" s="593">
        <f>J73-SUM(O73:R73)</f>
        <v/>
      </c>
    </row>
    <row r="74" hidden="1" outlineLevel="2" ht="12" customHeight="1">
      <c r="A74" s="1683" t="n"/>
      <c r="B74" s="62" t="n"/>
      <c r="C74" s="395" t="inlineStr">
        <is>
          <t>IDSW capitalized projects WIP</t>
        </is>
      </c>
      <c r="D74" s="6" t="n">
        <v>170805</v>
      </c>
      <c r="E74" s="6" t="inlineStr">
        <is>
          <t>170805 - IDSW Capitalized Projects WIP</t>
        </is>
      </c>
      <c r="F74" s="2">
        <f>'Balance sheet'!AV74</f>
        <v/>
      </c>
      <c r="G74" s="2">
        <f>'Balance sheet'!AW74</f>
        <v/>
      </c>
      <c r="H74" s="2">
        <f>'Balance sheet'!AX74</f>
        <v/>
      </c>
      <c r="I74" s="2">
        <f>'Balance sheet'!AY74</f>
        <v/>
      </c>
      <c r="J74" s="406">
        <f>'Balance sheet'!AZ74</f>
        <v/>
      </c>
      <c r="K74" s="2" t="n">
        <v>0</v>
      </c>
      <c r="L74" s="2">
        <f>I74</f>
        <v/>
      </c>
      <c r="M74" s="2" t="n">
        <v>0</v>
      </c>
      <c r="N74" s="406" t="n">
        <v>0</v>
      </c>
      <c r="O74" s="2" t="n">
        <v>0</v>
      </c>
      <c r="P74" s="2">
        <f>J74</f>
        <v/>
      </c>
      <c r="Q74" s="2" t="n">
        <v>0</v>
      </c>
      <c r="R74" s="2" t="n">
        <v>0</v>
      </c>
      <c r="T74" s="593">
        <f>I74-SUM(K74:N74)</f>
        <v/>
      </c>
      <c r="U74" s="593">
        <f>J74-SUM(O74:R74)</f>
        <v/>
      </c>
    </row>
    <row r="75" hidden="1" outlineLevel="2" ht="12" customHeight="1">
      <c r="A75" s="1683" t="n"/>
      <c r="B75" s="62" t="n"/>
      <c r="C75" s="336" t="inlineStr">
        <is>
          <t>Accum amort - IDSW capitalized projects</t>
        </is>
      </c>
      <c r="D75" s="393" t="n">
        <v>175801</v>
      </c>
      <c r="E75" s="393" t="inlineStr">
        <is>
          <t>175801 - Accum Amort - IDSW Capitalized Projects</t>
        </is>
      </c>
      <c r="F75" s="402">
        <f>'Balance sheet'!AV75</f>
        <v/>
      </c>
      <c r="G75" s="402">
        <f>'Balance sheet'!AW75</f>
        <v/>
      </c>
      <c r="H75" s="402">
        <f>'Balance sheet'!AX75</f>
        <v/>
      </c>
      <c r="I75" s="402">
        <f>'Balance sheet'!AY75</f>
        <v/>
      </c>
      <c r="J75" s="407">
        <f>'Balance sheet'!AZ75</f>
        <v/>
      </c>
      <c r="K75" s="402" t="n">
        <v>0</v>
      </c>
      <c r="L75" s="402">
        <f>I75</f>
        <v/>
      </c>
      <c r="M75" s="402" t="n">
        <v>0</v>
      </c>
      <c r="N75" s="407" t="n">
        <v>0</v>
      </c>
      <c r="O75" s="402" t="n">
        <v>0</v>
      </c>
      <c r="P75" s="402">
        <f>J75</f>
        <v/>
      </c>
      <c r="Q75" s="402" t="n">
        <v>0</v>
      </c>
      <c r="R75" s="402" t="n">
        <v>0</v>
      </c>
      <c r="T75" s="593">
        <f>I75-SUM(K75:N75)</f>
        <v/>
      </c>
      <c r="U75" s="593">
        <f>J75-SUM(O75:R75)</f>
        <v/>
      </c>
    </row>
    <row r="76" hidden="1" outlineLevel="1" collapsed="1" ht="12" customHeight="1">
      <c r="A76" s="1683" t="n"/>
      <c r="B76" s="62" t="n"/>
      <c r="C76" s="396" t="inlineStr">
        <is>
          <t xml:space="preserve">Capitalized development </t>
        </is>
      </c>
      <c r="F76" s="2">
        <f>SUM(F73:F75)</f>
        <v/>
      </c>
      <c r="G76" s="2">
        <f>SUM(G73:G75)</f>
        <v/>
      </c>
      <c r="H76" s="2">
        <f>SUM(H73:H75)</f>
        <v/>
      </c>
      <c r="I76" s="2">
        <f>SUM(I73:I75)</f>
        <v/>
      </c>
      <c r="J76" s="406">
        <f>SUM(J73:J75)</f>
        <v/>
      </c>
      <c r="K76" s="2">
        <f>SUM(K73:K75)</f>
        <v/>
      </c>
      <c r="L76" s="2">
        <f>SUM(L73:L75)</f>
        <v/>
      </c>
      <c r="M76" s="2">
        <f>SUM(M73:M75)</f>
        <v/>
      </c>
      <c r="N76" s="406">
        <f>SUM(N73:N75)</f>
        <v/>
      </c>
      <c r="O76" s="2">
        <f>SUM(O73:O75)</f>
        <v/>
      </c>
      <c r="P76" s="2">
        <f>SUM(P73:P75)</f>
        <v/>
      </c>
      <c r="Q76" s="2">
        <f>SUM(Q73:Q75)</f>
        <v/>
      </c>
      <c r="R76" s="2">
        <f>SUM(R73:R75)</f>
        <v/>
      </c>
      <c r="T76" s="593">
        <f>I76-SUM(K76:N76)</f>
        <v/>
      </c>
      <c r="U76" s="593">
        <f>J76-SUM(O76:R76)</f>
        <v/>
      </c>
    </row>
    <row r="77" hidden="1" outlineLevel="2" ht="12" customHeight="1">
      <c r="A77" s="1683" t="n"/>
      <c r="B77" s="62" t="n"/>
      <c r="C77" s="395" t="inlineStr">
        <is>
          <t>Purchased software</t>
        </is>
      </c>
      <c r="D77" s="6" t="n">
        <v>170101</v>
      </c>
      <c r="E77" s="6" t="inlineStr">
        <is>
          <t>170101 - Purchased Software</t>
        </is>
      </c>
      <c r="F77" s="2">
        <f>'Balance sheet'!AV77</f>
        <v/>
      </c>
      <c r="G77" s="2">
        <f>'Balance sheet'!AW77</f>
        <v/>
      </c>
      <c r="H77" s="2">
        <f>'Balance sheet'!AX77</f>
        <v/>
      </c>
      <c r="I77" s="2">
        <f>'Balance sheet'!AY77</f>
        <v/>
      </c>
      <c r="J77" s="406">
        <f>'Balance sheet'!AZ77</f>
        <v/>
      </c>
      <c r="K77" s="2" t="n">
        <v>0</v>
      </c>
      <c r="L77" s="2">
        <f>I77</f>
        <v/>
      </c>
      <c r="M77" s="2" t="n">
        <v>0</v>
      </c>
      <c r="N77" s="406" t="n">
        <v>0</v>
      </c>
      <c r="O77" s="2" t="n">
        <v>0</v>
      </c>
      <c r="P77" s="2">
        <f>J77</f>
        <v/>
      </c>
      <c r="Q77" s="2" t="n">
        <v>0</v>
      </c>
      <c r="R77" s="2" t="n">
        <v>0</v>
      </c>
      <c r="T77" s="593">
        <f>I77-SUM(K77:N77)</f>
        <v/>
      </c>
      <c r="U77" s="593">
        <f>J77-SUM(O77:R77)</f>
        <v/>
      </c>
    </row>
    <row r="78" hidden="1" outlineLevel="2" ht="12" customHeight="1">
      <c r="A78" s="1683" t="n"/>
      <c r="B78" s="62" t="n"/>
      <c r="C78" s="395" t="inlineStr">
        <is>
          <t>Purchased software - WIP</t>
        </is>
      </c>
      <c r="D78" s="6" t="n">
        <v>170151</v>
      </c>
      <c r="E78" s="6" t="inlineStr">
        <is>
          <t>170151 - Purchased Software - WIP</t>
        </is>
      </c>
      <c r="F78" s="2">
        <f>'Balance sheet'!AV78</f>
        <v/>
      </c>
      <c r="G78" s="2">
        <f>'Balance sheet'!AW78</f>
        <v/>
      </c>
      <c r="H78" s="2">
        <f>'Balance sheet'!AX78</f>
        <v/>
      </c>
      <c r="I78" s="2">
        <f>'Balance sheet'!AY78</f>
        <v/>
      </c>
      <c r="J78" s="406">
        <f>'Balance sheet'!AZ78</f>
        <v/>
      </c>
      <c r="K78" s="2" t="n">
        <v>0</v>
      </c>
      <c r="L78" s="2">
        <f>I78</f>
        <v/>
      </c>
      <c r="M78" s="2" t="n">
        <v>0</v>
      </c>
      <c r="N78" s="406" t="n">
        <v>0</v>
      </c>
      <c r="O78" s="2" t="n">
        <v>0</v>
      </c>
      <c r="P78" s="2">
        <f>J78</f>
        <v/>
      </c>
      <c r="Q78" s="2" t="n">
        <v>0</v>
      </c>
      <c r="R78" s="2" t="n">
        <v>0</v>
      </c>
      <c r="T78" s="593">
        <f>I78-SUM(K78:N78)</f>
        <v/>
      </c>
      <c r="U78" s="593">
        <f>J78-SUM(O78:R78)</f>
        <v/>
      </c>
    </row>
    <row r="79" hidden="1" outlineLevel="2" ht="12" customHeight="1">
      <c r="A79" s="1683" t="n"/>
      <c r="B79" s="62" t="n"/>
      <c r="C79" s="395" t="inlineStr">
        <is>
          <t>System software purchased- infrastructure</t>
        </is>
      </c>
      <c r="D79" s="6" t="n">
        <v>170121</v>
      </c>
      <c r="E79" s="6" t="inlineStr">
        <is>
          <t>170121 - System Software Purchased- Infrastructure</t>
        </is>
      </c>
      <c r="F79" s="2">
        <f>'Balance sheet'!AV79</f>
        <v/>
      </c>
      <c r="G79" s="2">
        <f>'Balance sheet'!AW79</f>
        <v/>
      </c>
      <c r="H79" s="2">
        <f>'Balance sheet'!AX79</f>
        <v/>
      </c>
      <c r="I79" s="2">
        <f>'Balance sheet'!AY79</f>
        <v/>
      </c>
      <c r="J79" s="406">
        <f>'Balance sheet'!AZ79</f>
        <v/>
      </c>
      <c r="K79" s="2" t="n">
        <v>0</v>
      </c>
      <c r="L79" s="2">
        <f>I79</f>
        <v/>
      </c>
      <c r="M79" s="2" t="n">
        <v>0</v>
      </c>
      <c r="N79" s="406" t="n">
        <v>0</v>
      </c>
      <c r="O79" s="2" t="n">
        <v>0</v>
      </c>
      <c r="P79" s="2">
        <f>J79</f>
        <v/>
      </c>
      <c r="Q79" s="2" t="n">
        <v>0</v>
      </c>
      <c r="R79" s="2" t="n">
        <v>0</v>
      </c>
      <c r="T79" s="593">
        <f>I79-SUM(K79:N79)</f>
        <v/>
      </c>
      <c r="U79" s="593">
        <f>J79-SUM(O79:R79)</f>
        <v/>
      </c>
    </row>
    <row r="80" hidden="1" outlineLevel="2" ht="12" customHeight="1">
      <c r="A80" s="1683" t="n"/>
      <c r="B80" s="62" t="n"/>
      <c r="C80" s="395" t="inlineStr">
        <is>
          <t>Accum amort - system software- infrastructure</t>
        </is>
      </c>
      <c r="D80" s="6" t="n">
        <v>175121</v>
      </c>
      <c r="E80" s="6" t="inlineStr">
        <is>
          <t>175121 - Accum Amort - System Software- Infrastructure</t>
        </is>
      </c>
      <c r="F80" s="2">
        <f>'Balance sheet'!AV80</f>
        <v/>
      </c>
      <c r="G80" s="2">
        <f>'Balance sheet'!AW80</f>
        <v/>
      </c>
      <c r="H80" s="2">
        <f>'Balance sheet'!AX80</f>
        <v/>
      </c>
      <c r="I80" s="2">
        <f>'Balance sheet'!AY80</f>
        <v/>
      </c>
      <c r="J80" s="406">
        <f>'Balance sheet'!AZ80</f>
        <v/>
      </c>
      <c r="K80" s="2" t="n">
        <v>0</v>
      </c>
      <c r="L80" s="2">
        <f>I80</f>
        <v/>
      </c>
      <c r="M80" s="2" t="n">
        <v>0</v>
      </c>
      <c r="N80" s="406" t="n">
        <v>0</v>
      </c>
      <c r="O80" s="2" t="n">
        <v>0</v>
      </c>
      <c r="P80" s="2">
        <f>J80</f>
        <v/>
      </c>
      <c r="Q80" s="2" t="n">
        <v>0</v>
      </c>
      <c r="R80" s="2" t="n">
        <v>0</v>
      </c>
      <c r="T80" s="593">
        <f>I80-SUM(K80:N80)</f>
        <v/>
      </c>
      <c r="U80" s="593">
        <f>J80-SUM(O80:R80)</f>
        <v/>
      </c>
    </row>
    <row r="81" hidden="1" outlineLevel="2" ht="12" customHeight="1">
      <c r="B81" s="62" t="n"/>
      <c r="C81" s="336" t="inlineStr">
        <is>
          <t>Accum amort - purchased software</t>
        </is>
      </c>
      <c r="D81" s="393" t="n">
        <v>175101</v>
      </c>
      <c r="E81" s="393" t="inlineStr">
        <is>
          <t>175101 - Accum Amort - Purchased Software</t>
        </is>
      </c>
      <c r="F81" s="402">
        <f>'Balance sheet'!AV81</f>
        <v/>
      </c>
      <c r="G81" s="402">
        <f>'Balance sheet'!AW81</f>
        <v/>
      </c>
      <c r="H81" s="402">
        <f>'Balance sheet'!AX81</f>
        <v/>
      </c>
      <c r="I81" s="402">
        <f>'Balance sheet'!AY81</f>
        <v/>
      </c>
      <c r="J81" s="407">
        <f>'Balance sheet'!AZ81</f>
        <v/>
      </c>
      <c r="K81" s="402" t="n">
        <v>0</v>
      </c>
      <c r="L81" s="402">
        <f>I81</f>
        <v/>
      </c>
      <c r="M81" s="402" t="n">
        <v>0</v>
      </c>
      <c r="N81" s="407" t="n">
        <v>0</v>
      </c>
      <c r="O81" s="402" t="n">
        <v>0</v>
      </c>
      <c r="P81" s="402">
        <f>J81</f>
        <v/>
      </c>
      <c r="Q81" s="402" t="n">
        <v>0</v>
      </c>
      <c r="R81" s="402" t="n">
        <v>0</v>
      </c>
      <c r="T81" s="593">
        <f>I81-SUM(K81:N81)</f>
        <v/>
      </c>
      <c r="U81" s="593">
        <f>J81-SUM(O81:R81)</f>
        <v/>
      </c>
    </row>
    <row r="82" hidden="1" outlineLevel="1" collapsed="1" ht="12" customHeight="1">
      <c r="B82" s="62" t="n"/>
      <c r="C82" s="396" t="inlineStr">
        <is>
          <t xml:space="preserve">Purchased software assets  </t>
        </is>
      </c>
      <c r="F82" s="2">
        <f>SUM(F77:F81)</f>
        <v/>
      </c>
      <c r="G82" s="2">
        <f>SUM(G77:G81)</f>
        <v/>
      </c>
      <c r="H82" s="2">
        <f>SUM(H77:H81)</f>
        <v/>
      </c>
      <c r="I82" s="2">
        <f>SUM(I77:I81)</f>
        <v/>
      </c>
      <c r="J82" s="406">
        <f>SUM(J77:J81)</f>
        <v/>
      </c>
      <c r="K82" s="2">
        <f>SUM(K77:K81)</f>
        <v/>
      </c>
      <c r="L82" s="2">
        <f>SUM(L77:L81)</f>
        <v/>
      </c>
      <c r="M82" s="2">
        <f>SUM(M77:M81)</f>
        <v/>
      </c>
      <c r="N82" s="406">
        <f>SUM(N77:N81)</f>
        <v/>
      </c>
      <c r="O82" s="2">
        <f>SUM(O77:O81)</f>
        <v/>
      </c>
      <c r="P82" s="2">
        <f>SUM(P77:P81)</f>
        <v/>
      </c>
      <c r="Q82" s="2">
        <f>SUM(Q77:Q81)</f>
        <v/>
      </c>
      <c r="R82" s="2">
        <f>SUM(R77:R81)</f>
        <v/>
      </c>
      <c r="T82" s="593">
        <f>I82-SUM(K82:N82)</f>
        <v/>
      </c>
      <c r="U82" s="593">
        <f>J82-SUM(O82:R82)</f>
        <v/>
      </c>
    </row>
    <row r="83" hidden="1" outlineLevel="2" ht="12" customHeight="1">
      <c r="B83" s="62" t="n"/>
      <c r="C83" s="336" t="inlineStr">
        <is>
          <t>Goodwill</t>
        </is>
      </c>
      <c r="D83" s="393" t="n">
        <v>160101</v>
      </c>
      <c r="E83" s="393" t="inlineStr">
        <is>
          <t>160101 - Goodwill</t>
        </is>
      </c>
      <c r="F83" s="402">
        <f>'Balance sheet'!AV83</f>
        <v/>
      </c>
      <c r="G83" s="402">
        <f>'Balance sheet'!AW83</f>
        <v/>
      </c>
      <c r="H83" s="402">
        <f>'Balance sheet'!AX83</f>
        <v/>
      </c>
      <c r="I83" s="402">
        <f>'Balance sheet'!AY83</f>
        <v/>
      </c>
      <c r="J83" s="407">
        <f>'Balance sheet'!AZ83</f>
        <v/>
      </c>
      <c r="K83" s="402" t="n">
        <v>0</v>
      </c>
      <c r="L83" s="402" t="n">
        <v>0</v>
      </c>
      <c r="M83" s="402" t="n">
        <v>0</v>
      </c>
      <c r="N83" s="407">
        <f>I83</f>
        <v/>
      </c>
      <c r="O83" s="402" t="n">
        <v>0</v>
      </c>
      <c r="P83" s="402" t="n">
        <v>0</v>
      </c>
      <c r="Q83" s="402" t="n">
        <v>0</v>
      </c>
      <c r="R83" s="402">
        <f>J83</f>
        <v/>
      </c>
      <c r="T83" s="593">
        <f>I83-SUM(K83:N83)</f>
        <v/>
      </c>
      <c r="U83" s="593">
        <f>J83-SUM(O83:R83)</f>
        <v/>
      </c>
    </row>
    <row r="84" hidden="1" outlineLevel="1" collapsed="1" ht="12" customHeight="1">
      <c r="B84" s="62" t="n"/>
      <c r="C84" s="396" t="inlineStr">
        <is>
          <t xml:space="preserve">Goodwill </t>
        </is>
      </c>
      <c r="F84" s="2">
        <f>SUM(F83:F83)</f>
        <v/>
      </c>
      <c r="G84" s="2">
        <f>SUM(G83:G83)</f>
        <v/>
      </c>
      <c r="H84" s="2">
        <f>SUM(H83:H83)</f>
        <v/>
      </c>
      <c r="I84" s="2">
        <f>SUM(I83:I83)</f>
        <v/>
      </c>
      <c r="J84" s="406">
        <f>SUM(J83:J83)</f>
        <v/>
      </c>
      <c r="K84" s="2">
        <f>SUM(K83:K83)</f>
        <v/>
      </c>
      <c r="L84" s="2">
        <f>SUM(L83:L83)</f>
        <v/>
      </c>
      <c r="M84" s="2">
        <f>SUM(M83:M83)</f>
        <v/>
      </c>
      <c r="N84" s="406">
        <f>SUM(N83:N83)</f>
        <v/>
      </c>
      <c r="O84" s="2">
        <f>SUM(O83:O83)</f>
        <v/>
      </c>
      <c r="P84" s="2">
        <f>SUM(P83:P83)</f>
        <v/>
      </c>
      <c r="Q84" s="2">
        <f>SUM(Q83:Q83)</f>
        <v/>
      </c>
      <c r="R84" s="2">
        <f>SUM(R83:R83)</f>
        <v/>
      </c>
      <c r="T84" s="593">
        <f>I84-SUM(K84:N84)</f>
        <v/>
      </c>
      <c r="U84" s="593">
        <f>J84-SUM(O84:R84)</f>
        <v/>
      </c>
    </row>
    <row r="85" hidden="1" outlineLevel="2" ht="12" customHeight="1">
      <c r="B85" s="62" t="n"/>
      <c r="C85" s="336" t="inlineStr">
        <is>
          <t>Investment in shares - interac</t>
        </is>
      </c>
      <c r="D85" s="393" t="n">
        <v>180101</v>
      </c>
      <c r="E85" s="393" t="inlineStr">
        <is>
          <t>180101 - Investment in Shares - Interac</t>
        </is>
      </c>
      <c r="F85" s="402">
        <f>'Balance sheet'!AV85</f>
        <v/>
      </c>
      <c r="G85" s="402">
        <f>'Balance sheet'!AW85</f>
        <v/>
      </c>
      <c r="H85" s="402">
        <f>'Balance sheet'!AX85</f>
        <v/>
      </c>
      <c r="I85" s="402">
        <f>'Balance sheet'!AY85</f>
        <v/>
      </c>
      <c r="J85" s="407">
        <f>'Balance sheet'!AZ85</f>
        <v/>
      </c>
      <c r="K85" s="402" t="n">
        <v>0</v>
      </c>
      <c r="L85" s="402" t="n">
        <v>0</v>
      </c>
      <c r="M85" s="402" t="n">
        <v>0</v>
      </c>
      <c r="N85" s="407">
        <f>I85</f>
        <v/>
      </c>
      <c r="O85" s="402" t="n">
        <v>0</v>
      </c>
      <c r="P85" s="402" t="n">
        <v>0</v>
      </c>
      <c r="Q85" s="402" t="n">
        <v>0</v>
      </c>
      <c r="R85" s="402">
        <f>J85</f>
        <v/>
      </c>
      <c r="T85" s="593">
        <f>I85-SUM(K85:N85)</f>
        <v/>
      </c>
      <c r="U85" s="593">
        <f>J85-SUM(O85:R85)</f>
        <v/>
      </c>
    </row>
    <row r="86" hidden="1" outlineLevel="1" collapsed="1" ht="12" customHeight="1">
      <c r="B86" s="62" t="n"/>
      <c r="C86" s="396" t="inlineStr">
        <is>
          <t xml:space="preserve">Investment in interac </t>
        </is>
      </c>
      <c r="F86" s="2">
        <f>SUM(F85:F85)</f>
        <v/>
      </c>
      <c r="G86" s="2">
        <f>SUM(G85:G85)</f>
        <v/>
      </c>
      <c r="H86" s="2">
        <f>SUM(H85:H85)</f>
        <v/>
      </c>
      <c r="I86" s="2">
        <f>SUM(I85:I85)</f>
        <v/>
      </c>
      <c r="J86" s="406">
        <f>SUM(J85:J85)</f>
        <v/>
      </c>
      <c r="K86" s="2">
        <f>SUM(K85:K85)</f>
        <v/>
      </c>
      <c r="L86" s="2">
        <f>SUM(L85:L85)</f>
        <v/>
      </c>
      <c r="M86" s="2">
        <f>SUM(M85:M85)</f>
        <v/>
      </c>
      <c r="N86" s="406">
        <f>SUM(N85:N85)</f>
        <v/>
      </c>
      <c r="O86" s="2">
        <f>SUM(O85:O85)</f>
        <v/>
      </c>
      <c r="P86" s="2">
        <f>SUM(P85:P85)</f>
        <v/>
      </c>
      <c r="Q86" s="2">
        <f>SUM(Q85:Q85)</f>
        <v/>
      </c>
      <c r="R86" s="2">
        <f>SUM(R85:R85)</f>
        <v/>
      </c>
      <c r="T86" s="593">
        <f>I86-SUM(K86:N86)</f>
        <v/>
      </c>
      <c r="U86" s="593">
        <f>J86-SUM(O86:R86)</f>
        <v/>
      </c>
    </row>
    <row r="87" hidden="1" outlineLevel="2" ht="12" customHeight="1">
      <c r="B87" s="62" t="n"/>
      <c r="C87" s="336" t="inlineStr">
        <is>
          <t>Contract assets - lT IFRS15</t>
        </is>
      </c>
      <c r="D87" s="393" t="n">
        <v>191515</v>
      </c>
      <c r="E87" s="393" t="inlineStr">
        <is>
          <t>191515 - CONTRACT ASSETS - LT IFRS15</t>
        </is>
      </c>
      <c r="F87" s="402">
        <f>'Balance sheet'!AV87</f>
        <v/>
      </c>
      <c r="G87" s="402">
        <f>'Balance sheet'!AW87</f>
        <v/>
      </c>
      <c r="H87" s="402">
        <f>'Balance sheet'!AX87</f>
        <v/>
      </c>
      <c r="I87" s="402">
        <f>'Balance sheet'!AY87</f>
        <v/>
      </c>
      <c r="J87" s="407">
        <f>'Balance sheet'!AZ87</f>
        <v/>
      </c>
      <c r="K87" s="402">
        <f>I87</f>
        <v/>
      </c>
      <c r="L87" s="402" t="n">
        <v>0</v>
      </c>
      <c r="M87" s="402" t="n">
        <v>0</v>
      </c>
      <c r="N87" s="407" t="n">
        <v>0</v>
      </c>
      <c r="O87" s="402">
        <f>J87</f>
        <v/>
      </c>
      <c r="P87" s="402" t="n">
        <v>0</v>
      </c>
      <c r="Q87" s="402" t="n">
        <v>0</v>
      </c>
      <c r="R87" s="402" t="n">
        <v>0</v>
      </c>
      <c r="T87" s="593">
        <f>I87-SUM(K87:N87)</f>
        <v/>
      </c>
      <c r="U87" s="593">
        <f>J87-SUM(O87:R87)</f>
        <v/>
      </c>
    </row>
    <row r="88" hidden="1" outlineLevel="1" collapsed="1" ht="12" customHeight="1">
      <c r="B88" s="62" t="n"/>
      <c r="C88" s="396" t="inlineStr">
        <is>
          <t xml:space="preserve">Deferred implementation costs - non-current </t>
        </is>
      </c>
      <c r="F88" s="2">
        <f>SUM(F87:F87)</f>
        <v/>
      </c>
      <c r="G88" s="2">
        <f>SUM(G87:G87)</f>
        <v/>
      </c>
      <c r="H88" s="2">
        <f>SUM(H87:H87)</f>
        <v/>
      </c>
      <c r="I88" s="2">
        <f>SUM(I87:I87)</f>
        <v/>
      </c>
      <c r="J88" s="406">
        <f>SUM(J87:J87)</f>
        <v/>
      </c>
      <c r="K88" s="2">
        <f>SUM(K87:K87)</f>
        <v/>
      </c>
      <c r="L88" s="2">
        <f>SUM(L87:L87)</f>
        <v/>
      </c>
      <c r="M88" s="2">
        <f>SUM(M87:M87)</f>
        <v/>
      </c>
      <c r="N88" s="406">
        <f>SUM(N87:N87)</f>
        <v/>
      </c>
      <c r="O88" s="2">
        <f>SUM(O87:O87)</f>
        <v/>
      </c>
      <c r="P88" s="2">
        <f>SUM(P87:P87)</f>
        <v/>
      </c>
      <c r="Q88" s="2">
        <f>SUM(Q87:Q87)</f>
        <v/>
      </c>
      <c r="R88" s="2">
        <f>SUM(R87:R87)</f>
        <v/>
      </c>
      <c r="T88" s="593">
        <f>I88-SUM(K88:N88)</f>
        <v/>
      </c>
      <c r="U88" s="593">
        <f>J88-SUM(O88:R88)</f>
        <v/>
      </c>
    </row>
    <row r="89" hidden="1" outlineLevel="2" ht="12" customHeight="1">
      <c r="B89" s="62" t="n"/>
      <c r="C89" s="395" t="inlineStr">
        <is>
          <t>Long-term prepayments</t>
        </is>
      </c>
      <c r="D89" s="6" t="n">
        <v>192201</v>
      </c>
      <c r="E89" s="6" t="inlineStr">
        <is>
          <t>192201 - Long-Term Prepayments</t>
        </is>
      </c>
      <c r="F89" s="2">
        <f>'Balance sheet'!AV89</f>
        <v/>
      </c>
      <c r="G89" s="2">
        <f>'Balance sheet'!AW89</f>
        <v/>
      </c>
      <c r="H89" s="2">
        <f>'Balance sheet'!AX89</f>
        <v/>
      </c>
      <c r="I89" s="2">
        <f>'Balance sheet'!AY89</f>
        <v/>
      </c>
      <c r="J89" s="406">
        <f>'Balance sheet'!AZ89</f>
        <v/>
      </c>
      <c r="K89" s="2" t="n">
        <v>0</v>
      </c>
      <c r="L89" s="2" t="n">
        <v>0</v>
      </c>
      <c r="M89" s="2" t="n">
        <v>0</v>
      </c>
      <c r="N89" s="406">
        <f>I89</f>
        <v/>
      </c>
      <c r="O89" s="2" t="n">
        <v>0</v>
      </c>
      <c r="P89" s="2" t="n">
        <v>0</v>
      </c>
      <c r="Q89" s="2" t="n">
        <v>0</v>
      </c>
      <c r="R89" s="2">
        <f>J89</f>
        <v/>
      </c>
      <c r="T89" s="593">
        <f>I89-SUM(K89:N89)</f>
        <v/>
      </c>
      <c r="U89" s="593">
        <f>J89-SUM(O89:R89)</f>
        <v/>
      </c>
    </row>
    <row r="90" hidden="1" outlineLevel="2" ht="12" customHeight="1">
      <c r="B90" s="62" t="n"/>
      <c r="C90" s="395" t="inlineStr">
        <is>
          <t>Long-term security deposit</t>
        </is>
      </c>
      <c r="D90" s="6" t="n">
        <v>192202</v>
      </c>
      <c r="E90" s="6" t="inlineStr">
        <is>
          <t>192202 - Long-Term Security Deposit</t>
        </is>
      </c>
      <c r="F90" s="2">
        <f>'Balance sheet'!AV90</f>
        <v/>
      </c>
      <c r="G90" s="2">
        <f>'Balance sheet'!AW90</f>
        <v/>
      </c>
      <c r="H90" s="2">
        <f>'Balance sheet'!AX90</f>
        <v/>
      </c>
      <c r="I90" s="2">
        <f>'Balance sheet'!AY90</f>
        <v/>
      </c>
      <c r="J90" s="406">
        <f>'Balance sheet'!AZ90</f>
        <v/>
      </c>
      <c r="K90" s="2" t="n">
        <v>0</v>
      </c>
      <c r="L90" s="2" t="n">
        <v>0</v>
      </c>
      <c r="M90" s="2" t="n">
        <v>0</v>
      </c>
      <c r="N90" s="406">
        <f>I90</f>
        <v/>
      </c>
      <c r="O90" s="2" t="n">
        <v>0</v>
      </c>
      <c r="P90" s="2" t="n">
        <v>0</v>
      </c>
      <c r="Q90" s="2" t="n">
        <v>0</v>
      </c>
      <c r="R90" s="2">
        <f>J90</f>
        <v/>
      </c>
      <c r="T90" s="593">
        <f>I90-SUM(K90:N90)</f>
        <v/>
      </c>
      <c r="U90" s="593">
        <f>J90-SUM(O90:R90)</f>
        <v/>
      </c>
    </row>
    <row r="91" hidden="1" outlineLevel="2" ht="12" customHeight="1">
      <c r="B91" s="62" t="n"/>
      <c r="C91" s="395" t="inlineStr">
        <is>
          <t>Long term COGS lock n block</t>
        </is>
      </c>
      <c r="D91" s="6" t="n">
        <v>192203</v>
      </c>
      <c r="E91" s="6" t="inlineStr">
        <is>
          <t>192203 - Long Term COGS Lock N Block</t>
        </is>
      </c>
      <c r="F91" s="2">
        <f>'Balance sheet'!AV91</f>
        <v/>
      </c>
      <c r="G91" s="2">
        <f>'Balance sheet'!AW91</f>
        <v/>
      </c>
      <c r="H91" s="2">
        <f>'Balance sheet'!AX91</f>
        <v/>
      </c>
      <c r="I91" s="2">
        <f>'Balance sheet'!AY91</f>
        <v/>
      </c>
      <c r="J91" s="406">
        <f>'Balance sheet'!AZ91</f>
        <v/>
      </c>
      <c r="K91" s="2" t="n">
        <v>0</v>
      </c>
      <c r="L91" s="2" t="n">
        <v>0</v>
      </c>
      <c r="M91" s="2" t="n">
        <v>0</v>
      </c>
      <c r="N91" s="406">
        <f>I91</f>
        <v/>
      </c>
      <c r="O91" s="2" t="n">
        <v>0</v>
      </c>
      <c r="P91" s="2" t="n">
        <v>0</v>
      </c>
      <c r="Q91" s="2" t="n">
        <v>0</v>
      </c>
      <c r="R91" s="2">
        <f>J91</f>
        <v/>
      </c>
      <c r="T91" s="593">
        <f>I91-SUM(K91:N91)</f>
        <v/>
      </c>
      <c r="U91" s="593">
        <f>J91-SUM(O91:R91)</f>
        <v/>
      </c>
    </row>
    <row r="92" hidden="1" outlineLevel="2" ht="12" customHeight="1">
      <c r="B92" s="62" t="n"/>
      <c r="C92" s="336" t="inlineStr">
        <is>
          <t>Long-term sec deposit IFRS adj-corp</t>
        </is>
      </c>
      <c r="D92" s="393" t="n">
        <v>192216</v>
      </c>
      <c r="E92" s="393" t="inlineStr">
        <is>
          <t>192216 - Long-Term Sec Deposit IFRS ADJ-Corp</t>
        </is>
      </c>
      <c r="F92" s="402">
        <f>'Balance sheet'!AV92</f>
        <v/>
      </c>
      <c r="G92" s="402">
        <f>'Balance sheet'!AW92</f>
        <v/>
      </c>
      <c r="H92" s="402">
        <f>'Balance sheet'!AX92</f>
        <v/>
      </c>
      <c r="I92" s="402">
        <f>'Balance sheet'!AY92</f>
        <v/>
      </c>
      <c r="J92" s="407">
        <f>'Balance sheet'!AZ92</f>
        <v/>
      </c>
      <c r="K92" s="402" t="n">
        <v>0</v>
      </c>
      <c r="L92" s="402" t="n">
        <v>0</v>
      </c>
      <c r="M92" s="402" t="n">
        <v>0</v>
      </c>
      <c r="N92" s="407">
        <f>I92</f>
        <v/>
      </c>
      <c r="O92" s="402" t="n">
        <v>0</v>
      </c>
      <c r="P92" s="402" t="n">
        <v>0</v>
      </c>
      <c r="Q92" s="402" t="n">
        <v>0</v>
      </c>
      <c r="R92" s="402">
        <f>J92</f>
        <v/>
      </c>
      <c r="T92" s="593">
        <f>I92-SUM(K92:N92)</f>
        <v/>
      </c>
      <c r="U92" s="593">
        <f>J92-SUM(O92:R92)</f>
        <v/>
      </c>
    </row>
    <row r="93" hidden="1" outlineLevel="1" collapsed="1" ht="12" customHeight="1">
      <c r="B93" s="62" t="n"/>
      <c r="C93" s="339" t="inlineStr">
        <is>
          <t xml:space="preserve">Prepaid contractual payments - non-current </t>
        </is>
      </c>
      <c r="D93" s="393" t="n"/>
      <c r="E93" s="393" t="n"/>
      <c r="F93" s="402">
        <f>SUM(F89:F92)</f>
        <v/>
      </c>
      <c r="G93" s="402">
        <f>SUM(G89:G92)</f>
        <v/>
      </c>
      <c r="H93" s="402">
        <f>SUM(H89:H92)</f>
        <v/>
      </c>
      <c r="I93" s="402">
        <f>SUM(I89:I92)</f>
        <v/>
      </c>
      <c r="J93" s="407">
        <f>SUM(J89:J92)</f>
        <v/>
      </c>
      <c r="K93" s="402">
        <f>SUM(K89:K92)</f>
        <v/>
      </c>
      <c r="L93" s="402">
        <f>SUM(L89:L92)</f>
        <v/>
      </c>
      <c r="M93" s="402">
        <f>SUM(M89:M92)</f>
        <v/>
      </c>
      <c r="N93" s="407">
        <f>SUM(N89:N92)</f>
        <v/>
      </c>
      <c r="O93" s="402">
        <f>SUM(O89:O92)</f>
        <v/>
      </c>
      <c r="P93" s="402">
        <f>SUM(P89:P92)</f>
        <v/>
      </c>
      <c r="Q93" s="402">
        <f>SUM(Q89:Q92)</f>
        <v/>
      </c>
      <c r="R93" s="402">
        <f>SUM(R89:R92)</f>
        <v/>
      </c>
      <c r="T93" s="593">
        <f>I93-SUM(K93:N93)</f>
        <v/>
      </c>
      <c r="U93" s="593">
        <f>J93-SUM(O93:R93)</f>
        <v/>
      </c>
    </row>
    <row r="94" collapsed="1" ht="12" customHeight="1">
      <c r="B94" s="62" t="n"/>
      <c r="C94" s="393" t="inlineStr">
        <is>
          <t xml:space="preserve">Non current assets </t>
        </is>
      </c>
      <c r="D94" s="393" t="n"/>
      <c r="E94" s="393" t="n"/>
      <c r="F94" s="402">
        <f>SUM(F72,F76,F82,F84,F86,F88,F93)</f>
        <v/>
      </c>
      <c r="G94" s="402">
        <f>SUM(G72,G76,G82,G84,G86,G88,G93)</f>
        <v/>
      </c>
      <c r="H94" s="402">
        <f>SUM(H72,H76,H82,H84,H86,H88,H93)</f>
        <v/>
      </c>
      <c r="I94" s="402">
        <f>SUM(I72,I76,I82,I84,I86,I88,I93)</f>
        <v/>
      </c>
      <c r="J94" s="407">
        <f>SUM(J72,J76,J82,J84,J86,J88,J93)</f>
        <v/>
      </c>
      <c r="K94" s="402">
        <f>SUM(K72,K76,K82,K84,K86,K88,K93)</f>
        <v/>
      </c>
      <c r="L94" s="402">
        <f>SUM(L72,L76,L82,L84,L86,L88,L93)</f>
        <v/>
      </c>
      <c r="M94" s="402">
        <f>SUM(M72,M76,M82,M84,M86,M88,M93)</f>
        <v/>
      </c>
      <c r="N94" s="407">
        <f>SUM(N72,N76,N82,N84,N86,N88,N93)</f>
        <v/>
      </c>
      <c r="O94" s="402">
        <f>SUM(O72,O76,O82,O84,O86,O88,O93)</f>
        <v/>
      </c>
      <c r="P94" s="402">
        <f>SUM(P72,P76,P82,P84,P86,P88,P93)</f>
        <v/>
      </c>
      <c r="Q94" s="402">
        <f>SUM(Q72,Q76,Q82,Q84,Q86,Q88,Q93)</f>
        <v/>
      </c>
      <c r="R94" s="402">
        <f>SUM(R72,R76,R82,R84,R86,R88,R93)</f>
        <v/>
      </c>
      <c r="T94" s="593">
        <f>I94-SUM(K94:N94)</f>
        <v/>
      </c>
      <c r="U94" s="593">
        <f>J94-SUM(O94:R94)</f>
        <v/>
      </c>
    </row>
    <row r="95" ht="12" customHeight="1" thickBot="1">
      <c r="B95" s="62" t="n"/>
      <c r="C95" s="478" t="inlineStr">
        <is>
          <t xml:space="preserve">Assets </t>
        </is>
      </c>
      <c r="D95" s="479" t="n"/>
      <c r="E95" s="479" t="n"/>
      <c r="F95" s="480">
        <f>SUM(F94,F52)</f>
        <v/>
      </c>
      <c r="G95" s="480">
        <f>SUM(G94,G52)</f>
        <v/>
      </c>
      <c r="H95" s="480">
        <f>SUM(H94,H52)</f>
        <v/>
      </c>
      <c r="I95" s="480">
        <f>SUM(I94,I52)</f>
        <v/>
      </c>
      <c r="J95" s="482">
        <f>SUM(J94,J52)</f>
        <v/>
      </c>
      <c r="K95" s="480">
        <f>SUM(K94,K52)</f>
        <v/>
      </c>
      <c r="L95" s="480">
        <f>SUM(L94,L52)</f>
        <v/>
      </c>
      <c r="M95" s="480">
        <f>SUM(M94,M52)</f>
        <v/>
      </c>
      <c r="N95" s="482">
        <f>SUM(N94,N52)</f>
        <v/>
      </c>
      <c r="O95" s="480">
        <f>SUM(O94,O52)</f>
        <v/>
      </c>
      <c r="P95" s="480">
        <f>SUM(P94,P52)</f>
        <v/>
      </c>
      <c r="Q95" s="480">
        <f>SUM(Q94,Q52)</f>
        <v/>
      </c>
      <c r="R95" s="480">
        <f>SUM(R94,R52)</f>
        <v/>
      </c>
      <c r="T95" s="593">
        <f>I95-SUM(K95:N95)</f>
        <v/>
      </c>
      <c r="U95" s="593">
        <f>J95-SUM(O95:R95)</f>
        <v/>
      </c>
    </row>
    <row r="96" ht="12" customHeight="1">
      <c r="B96" s="62" t="n"/>
      <c r="C96" s="411" t="inlineStr">
        <is>
          <t>Liabilities</t>
        </is>
      </c>
      <c r="F96" s="2" t="n"/>
      <c r="G96" s="2" t="n"/>
      <c r="H96" s="2" t="n"/>
      <c r="I96" s="2" t="n"/>
      <c r="J96" s="406" t="n"/>
      <c r="K96" s="2" t="n"/>
      <c r="L96" s="2" t="n"/>
      <c r="M96" s="2" t="n"/>
      <c r="N96" s="406" t="n"/>
      <c r="O96" s="2" t="n"/>
      <c r="P96" s="2" t="n"/>
      <c r="Q96" s="2" t="n"/>
      <c r="R96" s="2" t="n"/>
      <c r="T96" s="593" t="n"/>
      <c r="U96" s="593" t="n"/>
    </row>
    <row r="97" hidden="1" outlineLevel="3" ht="12" customHeight="1">
      <c r="A97" s="1683" t="n"/>
      <c r="B97" s="62" t="n"/>
      <c r="C97" s="397" t="inlineStr">
        <is>
          <t>Trade accounts payable - CAD</t>
        </is>
      </c>
      <c r="D97" s="6" t="n">
        <v>200101</v>
      </c>
      <c r="E97" s="6" t="inlineStr">
        <is>
          <t>200101 - Trade Accounts Payable - CAD</t>
        </is>
      </c>
      <c r="F97" s="2">
        <f>'Balance sheet'!AV97</f>
        <v/>
      </c>
      <c r="G97" s="2">
        <f>'Balance sheet'!AW97</f>
        <v/>
      </c>
      <c r="H97" s="2">
        <f>'Balance sheet'!AX97</f>
        <v/>
      </c>
      <c r="I97" s="2">
        <f>'Balance sheet'!AY97</f>
        <v/>
      </c>
      <c r="J97" s="406">
        <f>'Balance sheet'!AZ97</f>
        <v/>
      </c>
      <c r="K97" s="2">
        <f>I97</f>
        <v/>
      </c>
      <c r="L97" s="2" t="n">
        <v>0</v>
      </c>
      <c r="M97" s="2" t="n">
        <v>0</v>
      </c>
      <c r="N97" s="406" t="n">
        <v>0</v>
      </c>
      <c r="O97" s="2">
        <f>J97</f>
        <v/>
      </c>
      <c r="P97" s="2" t="n">
        <v>0</v>
      </c>
      <c r="Q97" s="2" t="n">
        <v>0</v>
      </c>
      <c r="R97" s="2" t="n">
        <v>0</v>
      </c>
      <c r="T97" s="593">
        <f>I97-SUM(K97:N97)</f>
        <v/>
      </c>
      <c r="U97" s="593">
        <f>J97-SUM(O97:R97)</f>
        <v/>
      </c>
    </row>
    <row r="98" hidden="1" outlineLevel="3" ht="12" customHeight="1">
      <c r="A98" s="1683" t="n"/>
      <c r="B98" s="62" t="n"/>
      <c r="C98" s="333" t="inlineStr">
        <is>
          <t>Trade accounts payable - USD</t>
        </is>
      </c>
      <c r="D98" s="393" t="n">
        <v>200101</v>
      </c>
      <c r="E98" s="393" t="inlineStr">
        <is>
          <t>200101 - Trade Accounts Payable - USD</t>
        </is>
      </c>
      <c r="F98" s="402">
        <f>'Balance sheet'!AV98</f>
        <v/>
      </c>
      <c r="G98" s="402">
        <f>'Balance sheet'!AW98</f>
        <v/>
      </c>
      <c r="H98" s="402">
        <f>'Balance sheet'!AX98</f>
        <v/>
      </c>
      <c r="I98" s="402">
        <f>'Balance sheet'!AY98</f>
        <v/>
      </c>
      <c r="J98" s="407">
        <f>'Balance sheet'!AZ98</f>
        <v/>
      </c>
      <c r="K98" s="402">
        <f>I98</f>
        <v/>
      </c>
      <c r="L98" s="402" t="n">
        <v>0</v>
      </c>
      <c r="M98" s="402" t="n">
        <v>0</v>
      </c>
      <c r="N98" s="407" t="n">
        <v>0</v>
      </c>
      <c r="O98" s="402">
        <f>J98</f>
        <v/>
      </c>
      <c r="P98" s="402" t="n">
        <v>0</v>
      </c>
      <c r="Q98" s="402" t="n">
        <v>0</v>
      </c>
      <c r="R98" s="402" t="n">
        <v>0</v>
      </c>
      <c r="T98" s="593">
        <f>I98-SUM(K98:N98)</f>
        <v/>
      </c>
      <c r="U98" s="593">
        <f>J98-SUM(O98:R98)</f>
        <v/>
      </c>
    </row>
    <row r="99" hidden="1" outlineLevel="2" collapsed="1" ht="12" customHeight="1">
      <c r="A99" s="1683" t="n"/>
      <c r="B99" s="62" t="n"/>
      <c r="C99" s="395" t="inlineStr">
        <is>
          <t>Trade accounts payable</t>
        </is>
      </c>
      <c r="F99" s="2">
        <f>SUM(F97:F98)</f>
        <v/>
      </c>
      <c r="G99" s="2">
        <f>SUM(G97:G98)</f>
        <v/>
      </c>
      <c r="H99" s="2">
        <f>SUM(H97:H98)</f>
        <v/>
      </c>
      <c r="I99" s="2">
        <f>SUM(I97:I98)</f>
        <v/>
      </c>
      <c r="J99" s="406">
        <f>SUM(J97:J98)</f>
        <v/>
      </c>
      <c r="K99" s="2">
        <f>SUM(K97:K98)</f>
        <v/>
      </c>
      <c r="L99" s="2">
        <f>SUM(L97:L98)</f>
        <v/>
      </c>
      <c r="M99" s="2">
        <f>SUM(M97:M98)</f>
        <v/>
      </c>
      <c r="N99" s="406">
        <f>SUM(N97:N98)</f>
        <v/>
      </c>
      <c r="O99" s="2">
        <f>SUM(O97:O98)</f>
        <v/>
      </c>
      <c r="P99" s="2">
        <f>SUM(P97:P98)</f>
        <v/>
      </c>
      <c r="Q99" s="2">
        <f>SUM(Q97:Q98)</f>
        <v/>
      </c>
      <c r="R99" s="2">
        <f>SUM(R97:R98)</f>
        <v/>
      </c>
      <c r="T99" s="593">
        <f>I99-SUM(K99:N99)</f>
        <v/>
      </c>
      <c r="U99" s="593">
        <f>J99-SUM(O99:R99)</f>
        <v/>
      </c>
    </row>
    <row r="100" hidden="1" outlineLevel="3" ht="12" customHeight="1">
      <c r="A100" s="1683" t="n"/>
      <c r="B100" s="62" t="n"/>
      <c r="C100" s="397" t="inlineStr">
        <is>
          <t>Accrued liabilities - COGS</t>
        </is>
      </c>
      <c r="D100" s="6" t="n">
        <v>214102</v>
      </c>
      <c r="E100" s="6" t="inlineStr">
        <is>
          <t>214102 - Accrued Liabilities - COGS</t>
        </is>
      </c>
      <c r="F100" s="2">
        <f>'Balance sheet'!AV100</f>
        <v/>
      </c>
      <c r="G100" s="2">
        <f>'Balance sheet'!AW100</f>
        <v/>
      </c>
      <c r="H100" s="2">
        <f>'Balance sheet'!AX100</f>
        <v/>
      </c>
      <c r="I100" s="2">
        <f>'Balance sheet'!AY100</f>
        <v/>
      </c>
      <c r="J100" s="406">
        <f>'Balance sheet'!AZ100</f>
        <v/>
      </c>
      <c r="K100" s="2">
        <f>I100</f>
        <v/>
      </c>
      <c r="L100" s="2" t="n">
        <v>0</v>
      </c>
      <c r="M100" s="2" t="n">
        <v>0</v>
      </c>
      <c r="N100" s="406" t="n">
        <v>0</v>
      </c>
      <c r="O100" s="2">
        <f>J100</f>
        <v/>
      </c>
      <c r="P100" s="2" t="n">
        <v>0</v>
      </c>
      <c r="Q100" s="2" t="n">
        <v>0</v>
      </c>
      <c r="R100" s="2" t="n">
        <v>0</v>
      </c>
      <c r="T100" s="593">
        <f>I100-SUM(K100:N100)</f>
        <v/>
      </c>
      <c r="U100" s="593">
        <f>J100-SUM(O100:R100)</f>
        <v/>
      </c>
    </row>
    <row r="101" hidden="1" outlineLevel="3" ht="12" customHeight="1">
      <c r="A101" s="337" t="n"/>
      <c r="B101" s="338" t="n"/>
      <c r="C101" s="397" t="inlineStr">
        <is>
          <t>Accrued liabilites - general</t>
        </is>
      </c>
      <c r="D101" s="6" t="n">
        <v>214101</v>
      </c>
      <c r="E101" s="6" t="inlineStr">
        <is>
          <t>214101 - Accrued Liabilites - General</t>
        </is>
      </c>
      <c r="F101" s="2">
        <f>'Balance sheet'!AV101</f>
        <v/>
      </c>
      <c r="G101" s="2">
        <f>'Balance sheet'!AW101</f>
        <v/>
      </c>
      <c r="H101" s="2">
        <f>'Balance sheet'!AX101</f>
        <v/>
      </c>
      <c r="I101" s="2">
        <f>'Balance sheet'!AY101</f>
        <v/>
      </c>
      <c r="J101" s="406">
        <f>'Balance sheet'!AZ101</f>
        <v/>
      </c>
      <c r="K101" s="2">
        <f>I101</f>
        <v/>
      </c>
      <c r="L101" s="2" t="n">
        <v>0</v>
      </c>
      <c r="M101" s="2" t="n">
        <v>0</v>
      </c>
      <c r="N101" s="406" t="n">
        <v>0</v>
      </c>
      <c r="O101" s="2">
        <f>J101</f>
        <v/>
      </c>
      <c r="P101" s="2" t="n">
        <v>0</v>
      </c>
      <c r="Q101" s="2" t="n">
        <v>0</v>
      </c>
      <c r="R101" s="2" t="n">
        <v>0</v>
      </c>
      <c r="T101" s="593">
        <f>I101-SUM(K101:N101)</f>
        <v/>
      </c>
      <c r="U101" s="593">
        <f>J101-SUM(O101:R101)</f>
        <v/>
      </c>
    </row>
    <row r="102" hidden="1" outlineLevel="3" ht="12" customHeight="1">
      <c r="A102" s="337" t="n"/>
      <c r="B102" s="338" t="n"/>
      <c r="C102" s="1684" t="inlineStr">
        <is>
          <t>Accrued liabilities -c2c conversions team</t>
        </is>
      </c>
      <c r="D102" s="6" t="n">
        <v>214101</v>
      </c>
      <c r="E102" s="1685" t="inlineStr">
        <is>
          <t>214101 - Accrued Liabilities -C2C Conversions Team</t>
        </is>
      </c>
      <c r="F102" s="2">
        <f>'Balance sheet'!AV102</f>
        <v/>
      </c>
      <c r="G102" s="2">
        <f>'Balance sheet'!AW102</f>
        <v/>
      </c>
      <c r="H102" s="2">
        <f>'Balance sheet'!AX102</f>
        <v/>
      </c>
      <c r="I102" s="2">
        <f>'Balance sheet'!AY102</f>
        <v/>
      </c>
      <c r="J102" s="406">
        <f>'Balance sheet'!AZ102</f>
        <v/>
      </c>
      <c r="K102" s="2">
        <f>I102</f>
        <v/>
      </c>
      <c r="L102" s="2" t="n">
        <v>0</v>
      </c>
      <c r="M102" s="2" t="n">
        <v>0</v>
      </c>
      <c r="N102" s="406" t="n">
        <v>0</v>
      </c>
      <c r="O102" s="2">
        <f>J102</f>
        <v/>
      </c>
      <c r="P102" s="2" t="n">
        <v>0</v>
      </c>
      <c r="Q102" s="2" t="n">
        <v>0</v>
      </c>
      <c r="R102" s="2" t="n">
        <v>0</v>
      </c>
      <c r="T102" s="593">
        <f>I102-SUM(K102:N102)</f>
        <v/>
      </c>
      <c r="U102" s="593">
        <f>J102-SUM(O102:R102)</f>
        <v/>
      </c>
    </row>
    <row r="103" hidden="1" outlineLevel="3" ht="12" customHeight="1">
      <c r="A103" s="1683" t="n"/>
      <c r="B103" s="62" t="n"/>
      <c r="C103" s="397" t="inlineStr">
        <is>
          <t>Accrued liabilities - celero and cu centrals</t>
        </is>
      </c>
      <c r="D103" s="6" t="n">
        <v>214103</v>
      </c>
      <c r="E103" s="6" t="inlineStr">
        <is>
          <t>214103 - Accrued Liabilities - Celero and CU Centrals</t>
        </is>
      </c>
      <c r="F103" s="2">
        <f>'Balance sheet'!AV103</f>
        <v/>
      </c>
      <c r="G103" s="2">
        <f>'Balance sheet'!AW103</f>
        <v/>
      </c>
      <c r="H103" s="2">
        <f>'Balance sheet'!AX103</f>
        <v/>
      </c>
      <c r="I103" s="2">
        <f>'Balance sheet'!AY103</f>
        <v/>
      </c>
      <c r="J103" s="406">
        <f>'Balance sheet'!AZ103</f>
        <v/>
      </c>
      <c r="K103" s="2">
        <f>I103</f>
        <v/>
      </c>
      <c r="L103" s="2" t="n">
        <v>0</v>
      </c>
      <c r="M103" s="2" t="n">
        <v>0</v>
      </c>
      <c r="N103" s="406" t="n">
        <v>0</v>
      </c>
      <c r="O103" s="2">
        <f>J103</f>
        <v/>
      </c>
      <c r="P103" s="2" t="n">
        <v>0</v>
      </c>
      <c r="Q103" s="2" t="n">
        <v>0</v>
      </c>
      <c r="R103" s="2" t="n">
        <v>0</v>
      </c>
      <c r="T103" s="593">
        <f>I103-SUM(K103:N103)</f>
        <v/>
      </c>
      <c r="U103" s="593">
        <f>J103-SUM(O103:R103)</f>
        <v/>
      </c>
    </row>
    <row r="104" hidden="1" outlineLevel="3" ht="12" customHeight="1">
      <c r="A104" s="1683" t="n"/>
      <c r="B104" s="62" t="n"/>
      <c r="C104" s="397" t="inlineStr">
        <is>
          <t>Accrued liabilities -intercompany - co-op vcas</t>
        </is>
      </c>
      <c r="D104" s="6" t="n">
        <v>249850</v>
      </c>
      <c r="E104" s="6" t="inlineStr">
        <is>
          <t>249850 - Accrued Liabilities -Intercompany - Co-Op VCAS</t>
        </is>
      </c>
      <c r="F104" s="2">
        <f>'Balance sheet'!AV104</f>
        <v/>
      </c>
      <c r="G104" s="2">
        <f>'Balance sheet'!AW104</f>
        <v/>
      </c>
      <c r="H104" s="2">
        <f>'Balance sheet'!AX104</f>
        <v/>
      </c>
      <c r="I104" s="2">
        <f>'Balance sheet'!AY104</f>
        <v/>
      </c>
      <c r="J104" s="406">
        <f>'Balance sheet'!AZ104</f>
        <v/>
      </c>
      <c r="K104" s="2">
        <f>I104</f>
        <v/>
      </c>
      <c r="L104" s="2" t="n">
        <v>0</v>
      </c>
      <c r="M104" s="2" t="n">
        <v>0</v>
      </c>
      <c r="N104" s="406" t="n">
        <v>0</v>
      </c>
      <c r="O104" s="2">
        <f>J104</f>
        <v/>
      </c>
      <c r="P104" s="2" t="n">
        <v>0</v>
      </c>
      <c r="Q104" s="2" t="n">
        <v>0</v>
      </c>
      <c r="R104" s="2" t="n">
        <v>0</v>
      </c>
      <c r="T104" s="593">
        <f>I104-SUM(K104:N104)</f>
        <v/>
      </c>
      <c r="U104" s="593">
        <f>J104-SUM(O104:R104)</f>
        <v/>
      </c>
    </row>
    <row r="105" hidden="1" outlineLevel="3" ht="12" customHeight="1">
      <c r="A105" s="1683" t="n"/>
      <c r="B105" s="62" t="n"/>
      <c r="C105" s="333" t="inlineStr">
        <is>
          <t>Accrued liabilities - fixed assets</t>
        </is>
      </c>
      <c r="D105" s="393" t="n">
        <v>214105</v>
      </c>
      <c r="E105" s="393" t="inlineStr">
        <is>
          <t>214105 - Accrued Liabilities - Fixed Assets</t>
        </is>
      </c>
      <c r="F105" s="402">
        <f>'Balance sheet'!AV105</f>
        <v/>
      </c>
      <c r="G105" s="402">
        <f>'Balance sheet'!AW105</f>
        <v/>
      </c>
      <c r="H105" s="402">
        <f>'Balance sheet'!AX105</f>
        <v/>
      </c>
      <c r="I105" s="402">
        <f>'Balance sheet'!AY105</f>
        <v/>
      </c>
      <c r="J105" s="407">
        <f>'Balance sheet'!AZ105</f>
        <v/>
      </c>
      <c r="K105" s="402">
        <f>I105</f>
        <v/>
      </c>
      <c r="L105" s="402" t="n">
        <v>0</v>
      </c>
      <c r="M105" s="402" t="n">
        <v>0</v>
      </c>
      <c r="N105" s="407" t="n">
        <v>0</v>
      </c>
      <c r="O105" s="402">
        <f>J105</f>
        <v/>
      </c>
      <c r="P105" s="402" t="n">
        <v>0</v>
      </c>
      <c r="Q105" s="402" t="n">
        <v>0</v>
      </c>
      <c r="R105" s="402" t="n">
        <v>0</v>
      </c>
      <c r="T105" s="593">
        <f>I105-SUM(K105:N105)</f>
        <v/>
      </c>
      <c r="U105" s="593">
        <f>J105-SUM(O105:R105)</f>
        <v/>
      </c>
    </row>
    <row r="106" hidden="1" outlineLevel="2" collapsed="1" ht="12" customHeight="1">
      <c r="A106" s="1683" t="n"/>
      <c r="B106" s="62" t="n"/>
      <c r="C106" s="395" t="inlineStr">
        <is>
          <t>Accrued liabilities</t>
        </is>
      </c>
      <c r="F106" s="2">
        <f>SUM(F100:F105)</f>
        <v/>
      </c>
      <c r="G106" s="2">
        <f>SUM(G100:G105)</f>
        <v/>
      </c>
      <c r="H106" s="2">
        <f>SUM(H100:H105)</f>
        <v/>
      </c>
      <c r="I106" s="2">
        <f>SUM(I100:I105)</f>
        <v/>
      </c>
      <c r="J106" s="406">
        <f>SUM(J100:J105)</f>
        <v/>
      </c>
      <c r="K106" s="2">
        <f>SUM(K100:K105)</f>
        <v/>
      </c>
      <c r="L106" s="2">
        <f>SUM(L100:L105)</f>
        <v/>
      </c>
      <c r="M106" s="2">
        <f>SUM(M100:M105)</f>
        <v/>
      </c>
      <c r="N106" s="406">
        <f>SUM(N100:N105)</f>
        <v/>
      </c>
      <c r="O106" s="2">
        <f>SUM(O100:O105)</f>
        <v/>
      </c>
      <c r="P106" s="2">
        <f>SUM(P100:P105)</f>
        <v/>
      </c>
      <c r="Q106" s="2">
        <f>SUM(Q100:Q105)</f>
        <v/>
      </c>
      <c r="R106" s="2">
        <f>SUM(R100:R105)</f>
        <v/>
      </c>
      <c r="T106" s="593">
        <f>I106-SUM(K106:N106)</f>
        <v/>
      </c>
      <c r="U106" s="593">
        <f>J106-SUM(O106:R106)</f>
        <v/>
      </c>
    </row>
    <row r="107" hidden="1" outlineLevel="3" ht="12" customHeight="1">
      <c r="A107" s="1683" t="n"/>
      <c r="B107" s="62" t="n"/>
      <c r="C107" s="397" t="inlineStr">
        <is>
          <t>Sales tax payable - PST BC</t>
        </is>
      </c>
      <c r="D107" s="6" t="n">
        <v>208323</v>
      </c>
      <c r="E107" s="6" t="inlineStr">
        <is>
          <t>208323 - Sales Tax Payable - PST BC</t>
        </is>
      </c>
      <c r="F107" s="2">
        <f>'Balance sheet'!AV107</f>
        <v/>
      </c>
      <c r="G107" s="2">
        <f>'Balance sheet'!AW107</f>
        <v/>
      </c>
      <c r="H107" s="2">
        <f>'Balance sheet'!AX107</f>
        <v/>
      </c>
      <c r="I107" s="2">
        <f>'Balance sheet'!AY107</f>
        <v/>
      </c>
      <c r="J107" s="406">
        <f>'Balance sheet'!AZ107</f>
        <v/>
      </c>
      <c r="K107" s="2">
        <f>I107</f>
        <v/>
      </c>
      <c r="L107" s="2" t="n">
        <v>0</v>
      </c>
      <c r="M107" s="2" t="n">
        <v>0</v>
      </c>
      <c r="N107" s="406" t="n">
        <v>0</v>
      </c>
      <c r="O107" s="2">
        <f>J107</f>
        <v/>
      </c>
      <c r="P107" s="2" t="n">
        <v>0</v>
      </c>
      <c r="Q107" s="2" t="n">
        <v>0</v>
      </c>
      <c r="R107" s="2" t="n">
        <v>0</v>
      </c>
      <c r="T107" s="593">
        <f>I107-SUM(K107:N107)</f>
        <v/>
      </c>
      <c r="U107" s="593">
        <f>J107-SUM(O107:R107)</f>
        <v/>
      </c>
    </row>
    <row r="108" hidden="1" outlineLevel="3" ht="12" customHeight="1">
      <c r="A108" s="337" t="n"/>
      <c r="B108" s="338" t="n"/>
      <c r="C108" s="397" t="inlineStr">
        <is>
          <t>Sales tax payable - HST/GST</t>
        </is>
      </c>
      <c r="D108" s="6" t="n">
        <v>208319</v>
      </c>
      <c r="E108" s="6" t="inlineStr">
        <is>
          <t>208319 - Sales Tax Payable - HST/GST</t>
        </is>
      </c>
      <c r="F108" s="2">
        <f>'Balance sheet'!AV108</f>
        <v/>
      </c>
      <c r="G108" s="2">
        <f>'Balance sheet'!AW108</f>
        <v/>
      </c>
      <c r="H108" s="2">
        <f>'Balance sheet'!AX108</f>
        <v/>
      </c>
      <c r="I108" s="2">
        <f>'Balance sheet'!AY108</f>
        <v/>
      </c>
      <c r="J108" s="406">
        <f>'Balance sheet'!AZ108</f>
        <v/>
      </c>
      <c r="K108" s="2">
        <f>I108</f>
        <v/>
      </c>
      <c r="L108" s="2" t="n">
        <v>0</v>
      </c>
      <c r="M108" s="2" t="n">
        <v>0</v>
      </c>
      <c r="N108" s="406" t="n">
        <v>0</v>
      </c>
      <c r="O108" s="2">
        <f>J108</f>
        <v/>
      </c>
      <c r="P108" s="2" t="n">
        <v>0</v>
      </c>
      <c r="Q108" s="2" t="n">
        <v>0</v>
      </c>
      <c r="R108" s="2" t="n">
        <v>0</v>
      </c>
      <c r="T108" s="593">
        <f>I108-SUM(K108:N108)</f>
        <v/>
      </c>
      <c r="U108" s="593">
        <f>J108-SUM(O108:R108)</f>
        <v/>
      </c>
    </row>
    <row r="109" hidden="1" outlineLevel="3" ht="12" customHeight="1">
      <c r="A109" s="1683" t="n"/>
      <c r="B109" s="62" t="n"/>
      <c r="C109" s="397" t="inlineStr">
        <is>
          <t>Sales tax payable - PST MB</t>
        </is>
      </c>
      <c r="D109" s="6" t="n">
        <v>208320</v>
      </c>
      <c r="E109" s="6" t="inlineStr">
        <is>
          <t>208320 - Sales Tax Payable - PST MB</t>
        </is>
      </c>
      <c r="F109" s="2">
        <f>'Balance sheet'!AV109</f>
        <v/>
      </c>
      <c r="G109" s="2">
        <f>'Balance sheet'!AW109</f>
        <v/>
      </c>
      <c r="H109" s="2">
        <f>'Balance sheet'!AX109</f>
        <v/>
      </c>
      <c r="I109" s="2">
        <f>'Balance sheet'!AY109</f>
        <v/>
      </c>
      <c r="J109" s="406">
        <f>'Balance sheet'!AZ109</f>
        <v/>
      </c>
      <c r="K109" s="2">
        <f>I109</f>
        <v/>
      </c>
      <c r="L109" s="2" t="n">
        <v>0</v>
      </c>
      <c r="M109" s="2" t="n">
        <v>0</v>
      </c>
      <c r="N109" s="406" t="n">
        <v>0</v>
      </c>
      <c r="O109" s="2">
        <f>J109</f>
        <v/>
      </c>
      <c r="P109" s="2" t="n">
        <v>0</v>
      </c>
      <c r="Q109" s="2" t="n">
        <v>0</v>
      </c>
      <c r="R109" s="2" t="n">
        <v>0</v>
      </c>
      <c r="T109" s="593">
        <f>I109-SUM(K109:N109)</f>
        <v/>
      </c>
      <c r="U109" s="593">
        <f>J109-SUM(O109:R109)</f>
        <v/>
      </c>
    </row>
    <row r="110" hidden="1" outlineLevel="3" ht="12" customHeight="1">
      <c r="A110" s="1683" t="n"/>
      <c r="B110" s="62" t="n"/>
      <c r="C110" s="397" t="inlineStr">
        <is>
          <t>Sales tax payable - PST SK</t>
        </is>
      </c>
      <c r="D110" s="6" t="n">
        <v>208321</v>
      </c>
      <c r="E110" s="6" t="inlineStr">
        <is>
          <t>208321 - Sales Tax Payable - PST SK</t>
        </is>
      </c>
      <c r="F110" s="2">
        <f>'Balance sheet'!AV110</f>
        <v/>
      </c>
      <c r="G110" s="2">
        <f>'Balance sheet'!AW110</f>
        <v/>
      </c>
      <c r="H110" s="2">
        <f>'Balance sheet'!AX110</f>
        <v/>
      </c>
      <c r="I110" s="2">
        <f>'Balance sheet'!AY110</f>
        <v/>
      </c>
      <c r="J110" s="406">
        <f>'Balance sheet'!AZ110</f>
        <v/>
      </c>
      <c r="K110" s="2">
        <f>I110</f>
        <v/>
      </c>
      <c r="L110" s="2" t="n">
        <v>0</v>
      </c>
      <c r="M110" s="2" t="n">
        <v>0</v>
      </c>
      <c r="N110" s="406" t="n">
        <v>0</v>
      </c>
      <c r="O110" s="2">
        <f>J110</f>
        <v/>
      </c>
      <c r="P110" s="2" t="n">
        <v>0</v>
      </c>
      <c r="Q110" s="2" t="n">
        <v>0</v>
      </c>
      <c r="R110" s="2" t="n">
        <v>0</v>
      </c>
      <c r="T110" s="593">
        <f>I110-SUM(K110:N110)</f>
        <v/>
      </c>
      <c r="U110" s="593">
        <f>J110-SUM(O110:R110)</f>
        <v/>
      </c>
    </row>
    <row r="111" hidden="1" outlineLevel="3" ht="12" customHeight="1">
      <c r="A111" s="1683" t="n"/>
      <c r="B111" s="62" t="n"/>
      <c r="C111" s="333" t="inlineStr">
        <is>
          <t>Sales tax payable - PST QST</t>
        </is>
      </c>
      <c r="D111" s="393" t="n">
        <v>208322</v>
      </c>
      <c r="E111" s="393" t="inlineStr">
        <is>
          <t>208322 - Sales Tax Payable - PST QST</t>
        </is>
      </c>
      <c r="F111" s="402">
        <f>'Balance sheet'!AV111</f>
        <v/>
      </c>
      <c r="G111" s="402">
        <f>'Balance sheet'!AW111</f>
        <v/>
      </c>
      <c r="H111" s="402">
        <f>'Balance sheet'!AX111</f>
        <v/>
      </c>
      <c r="I111" s="402">
        <f>'Balance sheet'!AY111</f>
        <v/>
      </c>
      <c r="J111" s="407">
        <f>'Balance sheet'!AZ111</f>
        <v/>
      </c>
      <c r="K111" s="402">
        <f>I111</f>
        <v/>
      </c>
      <c r="L111" s="402" t="n">
        <v>0</v>
      </c>
      <c r="M111" s="402" t="n">
        <v>0</v>
      </c>
      <c r="N111" s="407" t="n">
        <v>0</v>
      </c>
      <c r="O111" s="402">
        <f>J111</f>
        <v/>
      </c>
      <c r="P111" s="402" t="n">
        <v>0</v>
      </c>
      <c r="Q111" s="402" t="n">
        <v>0</v>
      </c>
      <c r="R111" s="402" t="n">
        <v>0</v>
      </c>
      <c r="T111" s="593">
        <f>I111-SUM(K111:N111)</f>
        <v/>
      </c>
      <c r="U111" s="593">
        <f>J111-SUM(O111:R111)</f>
        <v/>
      </c>
    </row>
    <row r="112" hidden="1" outlineLevel="2" collapsed="1" ht="12" customHeight="1">
      <c r="A112" s="1683" t="n"/>
      <c r="B112" s="62" t="n"/>
      <c r="C112" s="395" t="inlineStr">
        <is>
          <t>Sales tax payable</t>
        </is>
      </c>
      <c r="F112" s="2">
        <f>SUM(F107:F111)</f>
        <v/>
      </c>
      <c r="G112" s="2">
        <f>SUM(G107:G111)</f>
        <v/>
      </c>
      <c r="H112" s="2">
        <f>SUM(H107:H111)</f>
        <v/>
      </c>
      <c r="I112" s="2">
        <f>SUM(I107:I111)</f>
        <v/>
      </c>
      <c r="J112" s="406">
        <f>SUM(J107:J111)</f>
        <v/>
      </c>
      <c r="K112" s="2">
        <f>SUM(K107:K111)</f>
        <v/>
      </c>
      <c r="L112" s="2">
        <f>SUM(L107:L111)</f>
        <v/>
      </c>
      <c r="M112" s="2">
        <f>SUM(M107:M111)</f>
        <v/>
      </c>
      <c r="N112" s="406">
        <f>SUM(N107:N111)</f>
        <v/>
      </c>
      <c r="O112" s="2">
        <f>SUM(O107:O111)</f>
        <v/>
      </c>
      <c r="P112" s="2">
        <f>SUM(P107:P111)</f>
        <v/>
      </c>
      <c r="Q112" s="2">
        <f>SUM(Q107:Q111)</f>
        <v/>
      </c>
      <c r="R112" s="2">
        <f>SUM(R107:R111)</f>
        <v/>
      </c>
      <c r="T112" s="593">
        <f>I112-SUM(K112:N112)</f>
        <v/>
      </c>
      <c r="U112" s="593">
        <f>J112-SUM(O112:R112)</f>
        <v/>
      </c>
    </row>
    <row r="113" hidden="1" outlineLevel="2" ht="12" customHeight="1">
      <c r="B113" s="62" t="n"/>
      <c r="C113" s="395" t="inlineStr">
        <is>
          <t>Accrued merchant residuals- chase</t>
        </is>
      </c>
      <c r="D113" s="6" t="n">
        <v>214112</v>
      </c>
      <c r="E113" s="6" t="inlineStr">
        <is>
          <t>214112 - Accrued Merchant Residuals- CHASE</t>
        </is>
      </c>
      <c r="F113" s="2">
        <f>'Balance sheet'!AV113</f>
        <v/>
      </c>
      <c r="G113" s="2">
        <f>'Balance sheet'!AW113</f>
        <v/>
      </c>
      <c r="H113" s="2">
        <f>'Balance sheet'!AX113</f>
        <v/>
      </c>
      <c r="I113" s="2">
        <f>'Balance sheet'!AY113</f>
        <v/>
      </c>
      <c r="J113" s="406">
        <f>'Balance sheet'!AZ113</f>
        <v/>
      </c>
      <c r="K113" s="2">
        <f>I113</f>
        <v/>
      </c>
      <c r="L113" s="2" t="n">
        <v>0</v>
      </c>
      <c r="M113" s="2" t="n">
        <v>0</v>
      </c>
      <c r="N113" s="406" t="n">
        <v>0</v>
      </c>
      <c r="O113" s="2">
        <f>J113</f>
        <v/>
      </c>
      <c r="P113" s="2" t="n">
        <v>0</v>
      </c>
      <c r="Q113" s="2" t="n">
        <v>0</v>
      </c>
      <c r="R113" s="2" t="n">
        <v>0</v>
      </c>
      <c r="T113" s="593">
        <f>I113-SUM(K113:N113)</f>
        <v/>
      </c>
      <c r="U113" s="593">
        <f>J113-SUM(O113:R113)</f>
        <v/>
      </c>
    </row>
    <row r="114" hidden="1" outlineLevel="2" ht="12" customHeight="1">
      <c r="B114" s="62" t="n"/>
      <c r="C114" s="395" t="inlineStr">
        <is>
          <t>Inter-company fis mv invoices</t>
        </is>
      </c>
      <c r="D114" s="6" t="n">
        <v>249851</v>
      </c>
      <c r="E114" s="6" t="inlineStr">
        <is>
          <t>249851 - Inter-Company FIS MV Invoices</t>
        </is>
      </c>
      <c r="F114" s="2">
        <f>'Balance sheet'!AV114</f>
        <v/>
      </c>
      <c r="G114" s="2">
        <f>'Balance sheet'!AW114</f>
        <v/>
      </c>
      <c r="H114" s="2">
        <f>'Balance sheet'!AX114</f>
        <v/>
      </c>
      <c r="I114" s="2">
        <f>'Balance sheet'!AY114</f>
        <v/>
      </c>
      <c r="J114" s="406">
        <f>'Balance sheet'!AZ114</f>
        <v/>
      </c>
      <c r="K114" s="2">
        <f>I114</f>
        <v/>
      </c>
      <c r="L114" s="2" t="n">
        <v>0</v>
      </c>
      <c r="M114" s="2" t="n">
        <v>0</v>
      </c>
      <c r="N114" s="406" t="n">
        <v>0</v>
      </c>
      <c r="O114" s="2">
        <f>J114</f>
        <v/>
      </c>
      <c r="P114" s="2" t="n">
        <v>0</v>
      </c>
      <c r="Q114" s="2" t="n">
        <v>0</v>
      </c>
      <c r="R114" s="2" t="n">
        <v>0</v>
      </c>
      <c r="T114" s="593">
        <f>I114-SUM(K114:N114)</f>
        <v/>
      </c>
      <c r="U114" s="593">
        <f>J114-SUM(O114:R114)</f>
        <v/>
      </c>
    </row>
    <row r="115" hidden="1" outlineLevel="2" ht="12" customHeight="1">
      <c r="B115" s="62" t="n"/>
      <c r="C115" s="1686" t="inlineStr">
        <is>
          <t>Non-resident withholding tax payable</t>
        </is>
      </c>
      <c r="D115" s="393" t="n">
        <v>208305</v>
      </c>
      <c r="E115" s="1687" t="inlineStr">
        <is>
          <t>208305 - Non-resident Withholding Tax Payable</t>
        </is>
      </c>
      <c r="F115" s="402">
        <f>'Balance sheet'!AV115</f>
        <v/>
      </c>
      <c r="G115" s="402">
        <f>'Balance sheet'!AW115</f>
        <v/>
      </c>
      <c r="H115" s="402">
        <f>'Balance sheet'!AX115</f>
        <v/>
      </c>
      <c r="I115" s="402">
        <f>'Balance sheet'!AY115</f>
        <v/>
      </c>
      <c r="J115" s="407">
        <f>'Balance sheet'!AZ115</f>
        <v/>
      </c>
      <c r="K115" s="402">
        <f>I115</f>
        <v/>
      </c>
      <c r="L115" s="402" t="n">
        <v>0</v>
      </c>
      <c r="M115" s="402" t="n">
        <v>0</v>
      </c>
      <c r="N115" s="407" t="n">
        <v>0</v>
      </c>
      <c r="O115" s="402">
        <f>J115</f>
        <v/>
      </c>
      <c r="P115" s="402" t="n">
        <v>0</v>
      </c>
      <c r="Q115" s="402" t="n">
        <v>0</v>
      </c>
      <c r="R115" s="402" t="n">
        <v>0</v>
      </c>
      <c r="T115" s="593">
        <f>I115-SUM(K115:N115)</f>
        <v/>
      </c>
      <c r="U115" s="593">
        <f>J115-SUM(O115:R115)</f>
        <v/>
      </c>
    </row>
    <row r="116" outlineLevel="1" collapsed="1" ht="12" customHeight="1">
      <c r="B116" s="62" t="n"/>
      <c r="C116" s="396" t="inlineStr">
        <is>
          <t xml:space="preserve">Accounts payable and accrued liabilities </t>
        </is>
      </c>
      <c r="F116" s="2">
        <f>SUM(F112:F115,F106,F99)</f>
        <v/>
      </c>
      <c r="G116" s="2">
        <f>SUM(G112:G115,G106,G99)</f>
        <v/>
      </c>
      <c r="H116" s="2">
        <f>SUM(H112:H115,H106,H99)</f>
        <v/>
      </c>
      <c r="I116" s="2">
        <f>SUM(I112:I115,I106,I99)</f>
        <v/>
      </c>
      <c r="J116" s="406">
        <f>SUM(J112:J115,J106,J99)</f>
        <v/>
      </c>
      <c r="K116" s="2">
        <f>SUM(K112:K115,K106,K99)</f>
        <v/>
      </c>
      <c r="L116" s="2">
        <f>SUM(L112:L115,L106,L99)</f>
        <v/>
      </c>
      <c r="M116" s="2">
        <f>SUM(M112:M115,M106,M99)</f>
        <v/>
      </c>
      <c r="N116" s="406">
        <f>SUM(N112:N115,N106,N99)</f>
        <v/>
      </c>
      <c r="O116" s="2">
        <f>SUM(O112:O115,O106,O99)</f>
        <v/>
      </c>
      <c r="P116" s="2">
        <f>SUM(P112:P115,P106,P99)</f>
        <v/>
      </c>
      <c r="Q116" s="2">
        <f>SUM(Q112:Q115,Q106,Q99)</f>
        <v/>
      </c>
      <c r="R116" s="2">
        <f>SUM(R112:R115,R106,R99)</f>
        <v/>
      </c>
      <c r="T116" s="593">
        <f>I116-SUM(K116:N116)</f>
        <v/>
      </c>
      <c r="U116" s="593">
        <f>J116-SUM(O116:R116)</f>
        <v/>
      </c>
    </row>
    <row r="117" hidden="1" outlineLevel="2" ht="12" customHeight="1">
      <c r="B117" s="62" t="n"/>
      <c r="C117" s="1688" t="inlineStr">
        <is>
          <t>Settlement payables - Desjardins pos</t>
        </is>
      </c>
      <c r="D117" s="6" t="n">
        <v>225101</v>
      </c>
      <c r="E117" s="6" t="inlineStr">
        <is>
          <t>225101 - Settlement Payables - Desjardins POS</t>
        </is>
      </c>
      <c r="F117" s="2">
        <f>'Balance sheet'!AV117</f>
        <v/>
      </c>
      <c r="G117" s="2">
        <f>'Balance sheet'!AW117</f>
        <v/>
      </c>
      <c r="H117" s="2">
        <f>'Balance sheet'!AX117</f>
        <v/>
      </c>
      <c r="I117" s="2">
        <f>'Balance sheet'!AY117</f>
        <v/>
      </c>
      <c r="J117" s="406">
        <f>'Balance sheet'!AZ117</f>
        <v/>
      </c>
      <c r="K117" s="2">
        <f>I117</f>
        <v/>
      </c>
      <c r="L117" s="2" t="n">
        <v>0</v>
      </c>
      <c r="M117" s="2" t="n">
        <v>0</v>
      </c>
      <c r="N117" s="406" t="n">
        <v>0</v>
      </c>
      <c r="O117" s="2">
        <f>J117</f>
        <v/>
      </c>
      <c r="P117" s="2" t="n">
        <v>0</v>
      </c>
      <c r="Q117" s="2" t="n">
        <v>0</v>
      </c>
      <c r="R117" s="2" t="n">
        <v>0</v>
      </c>
      <c r="T117" s="593">
        <f>I117-SUM(K117:N117)</f>
        <v/>
      </c>
      <c r="U117" s="593">
        <f>J117-SUM(O117:R117)</f>
        <v/>
      </c>
    </row>
    <row r="118" hidden="1" outlineLevel="2" ht="12" customHeight="1">
      <c r="B118" s="62" t="n"/>
      <c r="C118" s="1688" t="inlineStr">
        <is>
          <t>Settlement payables - Desjardins scd</t>
        </is>
      </c>
      <c r="D118" s="6" t="n">
        <v>225102</v>
      </c>
      <c r="E118" s="6" t="inlineStr">
        <is>
          <t>225102 - Settlement Payables - Desjardins SCD</t>
        </is>
      </c>
      <c r="F118" s="2">
        <f>'Balance sheet'!AV118</f>
        <v/>
      </c>
      <c r="G118" s="2">
        <f>'Balance sheet'!AW118</f>
        <v/>
      </c>
      <c r="H118" s="2">
        <f>'Balance sheet'!AX118</f>
        <v/>
      </c>
      <c r="I118" s="2">
        <f>'Balance sheet'!AY118</f>
        <v/>
      </c>
      <c r="J118" s="406">
        <f>'Balance sheet'!AZ118</f>
        <v/>
      </c>
      <c r="K118" s="2">
        <f>I118</f>
        <v/>
      </c>
      <c r="L118" s="2" t="n">
        <v>0</v>
      </c>
      <c r="M118" s="2" t="n">
        <v>0</v>
      </c>
      <c r="N118" s="406" t="n">
        <v>0</v>
      </c>
      <c r="O118" s="2">
        <f>J118</f>
        <v/>
      </c>
      <c r="P118" s="2" t="n">
        <v>0</v>
      </c>
      <c r="Q118" s="2" t="n">
        <v>0</v>
      </c>
      <c r="R118" s="2" t="n">
        <v>0</v>
      </c>
      <c r="T118" s="593">
        <f>I118-SUM(K118:N118)</f>
        <v/>
      </c>
      <c r="U118" s="593">
        <f>J118-SUM(O118:R118)</f>
        <v/>
      </c>
    </row>
    <row r="119" hidden="1" outlineLevel="2" ht="12" customHeight="1">
      <c r="B119" s="62" t="n"/>
      <c r="C119" s="395" t="inlineStr">
        <is>
          <t>Settlement payables - ICICI CAD for vda</t>
        </is>
      </c>
      <c r="D119" s="6" t="n">
        <v>225108</v>
      </c>
      <c r="E119" s="6" t="inlineStr">
        <is>
          <t>225108 - Settlement Payables - ICICI CAD for VDA</t>
        </is>
      </c>
      <c r="F119" s="2">
        <f>'Balance sheet'!AV119</f>
        <v/>
      </c>
      <c r="G119" s="2">
        <f>'Balance sheet'!AW119</f>
        <v/>
      </c>
      <c r="H119" s="2">
        <f>'Balance sheet'!AX119</f>
        <v/>
      </c>
      <c r="I119" s="2">
        <f>'Balance sheet'!AY119</f>
        <v/>
      </c>
      <c r="J119" s="406">
        <f>'Balance sheet'!AZ119</f>
        <v/>
      </c>
      <c r="K119" s="2">
        <f>I119</f>
        <v/>
      </c>
      <c r="L119" s="2" t="n">
        <v>0</v>
      </c>
      <c r="M119" s="2" t="n">
        <v>0</v>
      </c>
      <c r="N119" s="406" t="n">
        <v>0</v>
      </c>
      <c r="O119" s="2">
        <f>J119</f>
        <v/>
      </c>
      <c r="P119" s="2" t="n">
        <v>0</v>
      </c>
      <c r="Q119" s="2" t="n">
        <v>0</v>
      </c>
      <c r="R119" s="2" t="n">
        <v>0</v>
      </c>
      <c r="T119" s="593">
        <f>I119-SUM(K119:N119)</f>
        <v/>
      </c>
      <c r="U119" s="593">
        <f>J119-SUM(O119:R119)</f>
        <v/>
      </c>
    </row>
    <row r="120" hidden="1" outlineLevel="2" ht="12" customHeight="1">
      <c r="B120" s="62" t="n"/>
      <c r="C120" s="1688" t="inlineStr">
        <is>
          <t>Settlement etrans susp Desjardins 067</t>
        </is>
      </c>
      <c r="D120" s="6" t="n">
        <v>225167</v>
      </c>
      <c r="E120" s="6" t="inlineStr">
        <is>
          <t>225167 - Settlement ETrans Susp Desjardins 067</t>
        </is>
      </c>
      <c r="F120" s="2">
        <f>'Balance sheet'!AV120</f>
        <v/>
      </c>
      <c r="G120" s="2">
        <f>'Balance sheet'!AW120</f>
        <v/>
      </c>
      <c r="H120" s="2">
        <f>'Balance sheet'!AX120</f>
        <v/>
      </c>
      <c r="I120" s="2">
        <f>'Balance sheet'!AY120</f>
        <v/>
      </c>
      <c r="J120" s="406">
        <f>'Balance sheet'!AZ120</f>
        <v/>
      </c>
      <c r="K120" s="2">
        <f>I120</f>
        <v/>
      </c>
      <c r="L120" s="2" t="n">
        <v>0</v>
      </c>
      <c r="M120" s="2" t="n">
        <v>0</v>
      </c>
      <c r="N120" s="406" t="n">
        <v>0</v>
      </c>
      <c r="O120" s="2">
        <f>J120</f>
        <v/>
      </c>
      <c r="P120" s="2" t="n">
        <v>0</v>
      </c>
      <c r="Q120" s="2" t="n">
        <v>0</v>
      </c>
      <c r="R120" s="2" t="n">
        <v>0</v>
      </c>
      <c r="T120" s="593">
        <f>I120-SUM(K120:N120)</f>
        <v/>
      </c>
      <c r="U120" s="593">
        <f>J120-SUM(O120:R120)</f>
        <v/>
      </c>
    </row>
    <row r="121" hidden="1" outlineLevel="2" ht="12" customHeight="1">
      <c r="B121" s="62" t="n"/>
      <c r="C121" s="395" t="inlineStr">
        <is>
          <t>Unclaimed settlement</t>
        </is>
      </c>
      <c r="D121" s="6" t="n">
        <v>225199</v>
      </c>
      <c r="E121" s="6" t="inlineStr">
        <is>
          <t>225199 - Unclaimed Settlement</t>
        </is>
      </c>
      <c r="F121" s="2">
        <f>'Balance sheet'!AV121</f>
        <v/>
      </c>
      <c r="G121" s="2">
        <f>'Balance sheet'!AW121</f>
        <v/>
      </c>
      <c r="H121" s="2">
        <f>'Balance sheet'!AX121</f>
        <v/>
      </c>
      <c r="I121" s="2">
        <f>'Balance sheet'!AY121</f>
        <v/>
      </c>
      <c r="J121" s="406">
        <f>'Balance sheet'!AZ121</f>
        <v/>
      </c>
      <c r="K121" s="2">
        <f>I121</f>
        <v/>
      </c>
      <c r="L121" s="2" t="n">
        <v>0</v>
      </c>
      <c r="M121" s="2" t="n">
        <v>0</v>
      </c>
      <c r="N121" s="406" t="n">
        <v>0</v>
      </c>
      <c r="O121" s="2">
        <f>J121</f>
        <v/>
      </c>
      <c r="P121" s="2" t="n">
        <v>0</v>
      </c>
      <c r="Q121" s="2" t="n">
        <v>0</v>
      </c>
      <c r="R121" s="2" t="n">
        <v>0</v>
      </c>
      <c r="T121" s="593">
        <f>I121-SUM(K121:N121)</f>
        <v/>
      </c>
      <c r="U121" s="593">
        <f>J121-SUM(O121:R121)</f>
        <v/>
      </c>
    </row>
    <row r="122" hidden="1" outlineLevel="2" ht="12" customHeight="1">
      <c r="B122" s="62" t="n"/>
      <c r="C122" s="395" t="inlineStr">
        <is>
          <t>Settlement payables - CUCA 178</t>
        </is>
      </c>
      <c r="D122" s="6" t="n">
        <v>225103</v>
      </c>
      <c r="E122" s="6" t="inlineStr">
        <is>
          <t>225103 - Settlement Payables - CUCA 178</t>
        </is>
      </c>
      <c r="F122" s="2">
        <f>'Balance sheet'!AV122</f>
        <v/>
      </c>
      <c r="G122" s="2">
        <f>'Balance sheet'!AW122</f>
        <v/>
      </c>
      <c r="H122" s="2">
        <f>'Balance sheet'!AX122</f>
        <v/>
      </c>
      <c r="I122" s="2">
        <f>'Balance sheet'!AY122</f>
        <v/>
      </c>
      <c r="J122" s="406">
        <f>'Balance sheet'!AZ122</f>
        <v/>
      </c>
      <c r="K122" s="2">
        <f>I122</f>
        <v/>
      </c>
      <c r="L122" s="2" t="n">
        <v>0</v>
      </c>
      <c r="M122" s="2" t="n">
        <v>0</v>
      </c>
      <c r="N122" s="406" t="n">
        <v>0</v>
      </c>
      <c r="O122" s="2">
        <f>J122</f>
        <v/>
      </c>
      <c r="P122" s="2" t="n">
        <v>0</v>
      </c>
      <c r="Q122" s="2" t="n">
        <v>0</v>
      </c>
      <c r="R122" s="2" t="n">
        <v>0</v>
      </c>
      <c r="T122" s="593">
        <f>I122-SUM(K122:N122)</f>
        <v/>
      </c>
      <c r="U122" s="593">
        <f>J122-SUM(O122:R122)</f>
        <v/>
      </c>
    </row>
    <row r="123" hidden="1" outlineLevel="2" ht="12" customHeight="1">
      <c r="B123" s="62" t="n"/>
      <c r="C123" s="395" t="inlineStr">
        <is>
          <t>Settlement payables - 10403- desjardins 1154</t>
        </is>
      </c>
      <c r="D123" s="6" t="n">
        <v>225105</v>
      </c>
      <c r="E123" s="6" t="inlineStr">
        <is>
          <t>225105 - Settlement Payables - 10403- Desjardins 1154</t>
        </is>
      </c>
      <c r="F123" s="2">
        <f>'Balance sheet'!AV123</f>
        <v/>
      </c>
      <c r="G123" s="2">
        <f>'Balance sheet'!AW123</f>
        <v/>
      </c>
      <c r="H123" s="2">
        <f>'Balance sheet'!AX123</f>
        <v/>
      </c>
      <c r="I123" s="2">
        <f>'Balance sheet'!AY123</f>
        <v/>
      </c>
      <c r="J123" s="406">
        <f>'Balance sheet'!AZ123</f>
        <v/>
      </c>
      <c r="K123" s="2">
        <f>I123</f>
        <v/>
      </c>
      <c r="L123" s="2" t="n">
        <v>0</v>
      </c>
      <c r="M123" s="2" t="n">
        <v>0</v>
      </c>
      <c r="N123" s="406" t="n">
        <v>0</v>
      </c>
      <c r="O123" s="2">
        <f>J123</f>
        <v/>
      </c>
      <c r="P123" s="2" t="n">
        <v>0</v>
      </c>
      <c r="Q123" s="2" t="n">
        <v>0</v>
      </c>
      <c r="R123" s="2" t="n">
        <v>0</v>
      </c>
      <c r="T123" s="593">
        <f>I123-SUM(K123:N123)</f>
        <v/>
      </c>
      <c r="U123" s="593">
        <f>J123-SUM(O123:R123)</f>
        <v/>
      </c>
    </row>
    <row r="124" hidden="1" outlineLevel="2" ht="12" customHeight="1">
      <c r="B124" s="62" t="n"/>
      <c r="C124" s="395" t="inlineStr">
        <is>
          <t>Settlement payables - e-transfer desj 059</t>
        </is>
      </c>
      <c r="D124" s="6" t="n">
        <v>225159</v>
      </c>
      <c r="E124" s="6" t="inlineStr">
        <is>
          <t>225159 - Settlement Payables - E-Transfer Desj 059</t>
        </is>
      </c>
      <c r="F124" s="2">
        <f>'Balance sheet'!AV124</f>
        <v/>
      </c>
      <c r="G124" s="2">
        <f>'Balance sheet'!AW124</f>
        <v/>
      </c>
      <c r="H124" s="2">
        <f>'Balance sheet'!AX124</f>
        <v/>
      </c>
      <c r="I124" s="2">
        <f>'Balance sheet'!AY124</f>
        <v/>
      </c>
      <c r="J124" s="406">
        <f>'Balance sheet'!AZ124</f>
        <v/>
      </c>
      <c r="K124" s="2">
        <f>I124</f>
        <v/>
      </c>
      <c r="L124" s="2" t="n">
        <v>0</v>
      </c>
      <c r="M124" s="2" t="n">
        <v>0</v>
      </c>
      <c r="N124" s="406" t="n">
        <v>0</v>
      </c>
      <c r="O124" s="2">
        <f>J124</f>
        <v/>
      </c>
      <c r="P124" s="2" t="n">
        <v>0</v>
      </c>
      <c r="Q124" s="2" t="n">
        <v>0</v>
      </c>
      <c r="R124" s="2" t="n">
        <v>0</v>
      </c>
      <c r="T124" s="593">
        <f>I124-SUM(K124:N124)</f>
        <v/>
      </c>
      <c r="U124" s="593">
        <f>J124-SUM(O124:R124)</f>
        <v/>
      </c>
    </row>
    <row r="125" hidden="1" outlineLevel="2" ht="12" customHeight="1">
      <c r="B125" s="62" t="n"/>
      <c r="C125" s="336" t="inlineStr">
        <is>
          <t>Settlement payables - td bank, n.a 154</t>
        </is>
      </c>
      <c r="D125" s="393" t="n">
        <v>225104</v>
      </c>
      <c r="E125" s="393" t="inlineStr">
        <is>
          <t>225104 - Settlement Payables - TD Bank, N.A 154</t>
        </is>
      </c>
      <c r="F125" s="402">
        <f>'Balance sheet'!AV125</f>
        <v/>
      </c>
      <c r="G125" s="402">
        <f>'Balance sheet'!AW125</f>
        <v/>
      </c>
      <c r="H125" s="402">
        <f>'Balance sheet'!AX125</f>
        <v/>
      </c>
      <c r="I125" s="402">
        <f>'Balance sheet'!AY125</f>
        <v/>
      </c>
      <c r="J125" s="407">
        <f>'Balance sheet'!AZ125</f>
        <v/>
      </c>
      <c r="K125" s="402">
        <f>I125</f>
        <v/>
      </c>
      <c r="L125" s="402" t="n">
        <v>0</v>
      </c>
      <c r="M125" s="402" t="n">
        <v>0</v>
      </c>
      <c r="N125" s="407" t="n">
        <v>0</v>
      </c>
      <c r="O125" s="402">
        <f>J125</f>
        <v/>
      </c>
      <c r="P125" s="402" t="n">
        <v>0</v>
      </c>
      <c r="Q125" s="402" t="n">
        <v>0</v>
      </c>
      <c r="R125" s="402" t="n">
        <v>0</v>
      </c>
      <c r="T125" s="593">
        <f>I125-SUM(K125:N125)</f>
        <v/>
      </c>
      <c r="U125" s="593">
        <f>J125-SUM(O125:R125)</f>
        <v/>
      </c>
    </row>
    <row r="126" outlineLevel="1" collapsed="1" ht="12" customHeight="1">
      <c r="B126" s="62" t="n"/>
      <c r="C126" s="396" t="inlineStr">
        <is>
          <t xml:space="preserve">Payments held for third party remittance </t>
        </is>
      </c>
      <c r="F126" s="2">
        <f>SUM(F117:F125)</f>
        <v/>
      </c>
      <c r="G126" s="2">
        <f>SUM(G117:G125)</f>
        <v/>
      </c>
      <c r="H126" s="2">
        <f>SUM(H117:H125)</f>
        <v/>
      </c>
      <c r="I126" s="2">
        <f>SUM(I117:I125)</f>
        <v/>
      </c>
      <c r="J126" s="406">
        <f>SUM(J117:J125)</f>
        <v/>
      </c>
      <c r="K126" s="2">
        <f>SUM(K117:K125)</f>
        <v/>
      </c>
      <c r="L126" s="2">
        <f>SUM(L117:L125)</f>
        <v/>
      </c>
      <c r="M126" s="2">
        <f>SUM(M117:M125)</f>
        <v/>
      </c>
      <c r="N126" s="406">
        <f>SUM(N117:N125)</f>
        <v/>
      </c>
      <c r="O126" s="2">
        <f>SUM(O117:O125)</f>
        <v/>
      </c>
      <c r="P126" s="2">
        <f>SUM(P117:P125)</f>
        <v/>
      </c>
      <c r="Q126" s="2">
        <f>SUM(Q117:Q125)</f>
        <v/>
      </c>
      <c r="R126" s="2">
        <f>SUM(R117:R125)</f>
        <v/>
      </c>
      <c r="S126" s="3" t="n"/>
      <c r="T126" s="593">
        <f>I126-SUM(K126:N126)</f>
        <v/>
      </c>
      <c r="U126" s="593">
        <f>J126-SUM(O126:R126)</f>
        <v/>
      </c>
    </row>
    <row r="127" hidden="1" outlineLevel="2" ht="12" customHeight="1">
      <c r="B127" s="62" t="n"/>
      <c r="C127" s="336" t="inlineStr">
        <is>
          <t>Contract liability IFRS15</t>
        </is>
      </c>
      <c r="D127" s="393" t="n">
        <v>241515</v>
      </c>
      <c r="E127" s="393" t="inlineStr">
        <is>
          <t>241515 - Contract Liability IFRS15</t>
        </is>
      </c>
      <c r="F127" s="402">
        <f>'Balance sheet'!AV127</f>
        <v/>
      </c>
      <c r="G127" s="402">
        <f>'Balance sheet'!AW127</f>
        <v/>
      </c>
      <c r="H127" s="402">
        <f>'Balance sheet'!AX127</f>
        <v/>
      </c>
      <c r="I127" s="402">
        <f>'Balance sheet'!AY127</f>
        <v/>
      </c>
      <c r="J127" s="407">
        <f>'Balance sheet'!AZ127</f>
        <v/>
      </c>
      <c r="K127" s="402">
        <f>I127</f>
        <v/>
      </c>
      <c r="L127" s="402" t="n">
        <v>0</v>
      </c>
      <c r="M127" s="402" t="n">
        <v>0</v>
      </c>
      <c r="N127" s="407" t="n">
        <v>0</v>
      </c>
      <c r="O127" s="402">
        <f>J127</f>
        <v/>
      </c>
      <c r="P127" s="402" t="n">
        <v>0</v>
      </c>
      <c r="Q127" s="402" t="n">
        <v>0</v>
      </c>
      <c r="R127" s="402" t="n">
        <v>0</v>
      </c>
      <c r="T127" s="593">
        <f>I127-SUM(K127:N127)</f>
        <v/>
      </c>
      <c r="U127" s="593">
        <f>J127-SUM(O127:R127)</f>
        <v/>
      </c>
    </row>
    <row r="128" outlineLevel="1" collapsed="1" ht="12" customHeight="1">
      <c r="B128" s="62" t="n"/>
      <c r="C128" s="396" t="inlineStr">
        <is>
          <t xml:space="preserve">Revenue contract liabilities - current year </t>
        </is>
      </c>
      <c r="F128" s="2">
        <f>SUM(F127:F127)</f>
        <v/>
      </c>
      <c r="G128" s="2">
        <f>SUM(G127:G127)</f>
        <v/>
      </c>
      <c r="H128" s="2">
        <f>SUM(H127:H127)</f>
        <v/>
      </c>
      <c r="I128" s="2">
        <f>SUM(I127:I127)</f>
        <v/>
      </c>
      <c r="J128" s="406">
        <f>SUM(J127:J127)</f>
        <v/>
      </c>
      <c r="K128" s="2">
        <f>SUM(K127:K127)</f>
        <v/>
      </c>
      <c r="L128" s="2">
        <f>SUM(L127:L127)</f>
        <v/>
      </c>
      <c r="M128" s="2">
        <f>SUM(M127:M127)</f>
        <v/>
      </c>
      <c r="N128" s="406">
        <f>SUM(N127:N127)</f>
        <v/>
      </c>
      <c r="O128" s="2">
        <f>SUM(O127:O127)</f>
        <v/>
      </c>
      <c r="P128" s="2">
        <f>SUM(P127:P127)</f>
        <v/>
      </c>
      <c r="Q128" s="2">
        <f>SUM(Q127:Q127)</f>
        <v/>
      </c>
      <c r="R128" s="2">
        <f>SUM(R127:R127)</f>
        <v/>
      </c>
      <c r="T128" s="593">
        <f>I128-SUM(K128:N128)</f>
        <v/>
      </c>
      <c r="U128" s="593">
        <f>J128-SUM(O128:R128)</f>
        <v/>
      </c>
    </row>
    <row r="129" hidden="1" outlineLevel="2" ht="12" customHeight="1">
      <c r="B129" s="62" t="n"/>
      <c r="C129" s="395" t="inlineStr">
        <is>
          <t>Deferred revenue</t>
        </is>
      </c>
      <c r="D129" s="6" t="n">
        <v>240101</v>
      </c>
      <c r="E129" s="6" t="inlineStr">
        <is>
          <t>240101 - Deferred Revenue</t>
        </is>
      </c>
      <c r="F129" s="2">
        <f>'Balance sheet'!AV129</f>
        <v/>
      </c>
      <c r="G129" s="2">
        <f>'Balance sheet'!AW129</f>
        <v/>
      </c>
      <c r="H129" s="2">
        <f>'Balance sheet'!AX129</f>
        <v/>
      </c>
      <c r="I129" s="2">
        <f>'Balance sheet'!AY129</f>
        <v/>
      </c>
      <c r="J129" s="406">
        <f>'Balance sheet'!AZ129</f>
        <v/>
      </c>
      <c r="K129" s="2">
        <f>I129</f>
        <v/>
      </c>
      <c r="L129" s="2" t="n">
        <v>0</v>
      </c>
      <c r="M129" s="2" t="n">
        <v>0</v>
      </c>
      <c r="N129" s="406" t="n">
        <v>0</v>
      </c>
      <c r="O129" s="2">
        <f>J129</f>
        <v/>
      </c>
      <c r="P129" s="2" t="n">
        <v>0</v>
      </c>
      <c r="Q129" s="2" t="n">
        <v>0</v>
      </c>
      <c r="R129" s="2" t="n">
        <v>0</v>
      </c>
      <c r="T129" s="593">
        <f>I129-SUM(K129:N129)</f>
        <v/>
      </c>
      <c r="U129" s="593">
        <f>J129-SUM(O129:R129)</f>
        <v/>
      </c>
    </row>
    <row r="130" hidden="1" outlineLevel="2" ht="12" customHeight="1">
      <c r="B130" s="62" t="n"/>
      <c r="C130" s="336" t="inlineStr">
        <is>
          <t>Deferred revenue - cards perso</t>
        </is>
      </c>
      <c r="D130" s="393" t="n">
        <v>240102</v>
      </c>
      <c r="E130" s="393" t="inlineStr">
        <is>
          <t>240102 - Deferred Revenue - Cards Perso</t>
        </is>
      </c>
      <c r="F130" s="402">
        <f>'Balance sheet'!AV130</f>
        <v/>
      </c>
      <c r="G130" s="402">
        <f>'Balance sheet'!AW130</f>
        <v/>
      </c>
      <c r="H130" s="402">
        <f>'Balance sheet'!AX130</f>
        <v/>
      </c>
      <c r="I130" s="402">
        <f>'Balance sheet'!AY130</f>
        <v/>
      </c>
      <c r="J130" s="407">
        <f>'Balance sheet'!AZ130</f>
        <v/>
      </c>
      <c r="K130" s="402">
        <f>I130</f>
        <v/>
      </c>
      <c r="L130" s="402" t="n">
        <v>0</v>
      </c>
      <c r="M130" s="402" t="n">
        <v>0</v>
      </c>
      <c r="N130" s="407" t="n">
        <v>0</v>
      </c>
      <c r="O130" s="402">
        <f>J130</f>
        <v/>
      </c>
      <c r="P130" s="402" t="n">
        <v>0</v>
      </c>
      <c r="Q130" s="402" t="n">
        <v>0</v>
      </c>
      <c r="R130" s="402" t="n">
        <v>0</v>
      </c>
      <c r="T130" s="593">
        <f>I130-SUM(K130:N130)</f>
        <v/>
      </c>
      <c r="U130" s="593">
        <f>J130-SUM(O130:R130)</f>
        <v/>
      </c>
    </row>
    <row r="131" outlineLevel="1" collapsed="1" ht="12" customHeight="1">
      <c r="B131" s="62" t="n"/>
      <c r="C131" s="396" t="inlineStr">
        <is>
          <t xml:space="preserve">Deferred revenue  </t>
        </is>
      </c>
      <c r="F131" s="2">
        <f>SUM(F129:F130)</f>
        <v/>
      </c>
      <c r="G131" s="2">
        <f>SUM(G129:G130)</f>
        <v/>
      </c>
      <c r="H131" s="2">
        <f>SUM(H129:H130)</f>
        <v/>
      </c>
      <c r="I131" s="2">
        <f>SUM(I129:I130)</f>
        <v/>
      </c>
      <c r="J131" s="406">
        <f>SUM(J129:J130)</f>
        <v/>
      </c>
      <c r="K131" s="2">
        <f>SUM(K129:K130)</f>
        <v/>
      </c>
      <c r="L131" s="2">
        <f>SUM(L129:L130)</f>
        <v/>
      </c>
      <c r="M131" s="2">
        <f>SUM(M129:M130)</f>
        <v/>
      </c>
      <c r="N131" s="406">
        <f>SUM(N129:N130)</f>
        <v/>
      </c>
      <c r="O131" s="2">
        <f>SUM(O129:O130)</f>
        <v/>
      </c>
      <c r="P131" s="2">
        <f>SUM(P129:P130)</f>
        <v/>
      </c>
      <c r="Q131" s="2">
        <f>SUM(Q129:Q130)</f>
        <v/>
      </c>
      <c r="R131" s="2">
        <f>SUM(R129:R130)</f>
        <v/>
      </c>
      <c r="T131" s="593">
        <f>I131-SUM(K131:N131)</f>
        <v/>
      </c>
      <c r="U131" s="593">
        <f>J131-SUM(O131:R131)</f>
        <v/>
      </c>
    </row>
    <row r="132" hidden="1" outlineLevel="2" ht="12" customHeight="1">
      <c r="B132" s="62" t="n"/>
      <c r="C132" s="395" t="inlineStr">
        <is>
          <t>Accrued salaries</t>
        </is>
      </c>
      <c r="D132" s="6" t="n">
        <v>202101</v>
      </c>
      <c r="E132" s="6" t="inlineStr">
        <is>
          <t>202101 - Accrued Salaries</t>
        </is>
      </c>
      <c r="F132" s="2">
        <f>'Balance sheet'!AV132</f>
        <v/>
      </c>
      <c r="G132" s="2">
        <f>'Balance sheet'!AW132</f>
        <v/>
      </c>
      <c r="H132" s="2">
        <f>'Balance sheet'!AX132</f>
        <v/>
      </c>
      <c r="I132" s="2">
        <f>'Balance sheet'!AY132</f>
        <v/>
      </c>
      <c r="J132" s="406">
        <f>'Balance sheet'!AZ132</f>
        <v/>
      </c>
      <c r="K132" s="2">
        <f>I132</f>
        <v/>
      </c>
      <c r="L132" s="2" t="n">
        <v>0</v>
      </c>
      <c r="M132" s="2" t="n">
        <v>0</v>
      </c>
      <c r="N132" s="406" t="n">
        <v>0</v>
      </c>
      <c r="O132" s="2">
        <f>J132</f>
        <v/>
      </c>
      <c r="P132" s="2" t="n">
        <v>0</v>
      </c>
      <c r="Q132" s="2" t="n">
        <v>0</v>
      </c>
      <c r="R132" s="2" t="n">
        <v>0</v>
      </c>
      <c r="T132" s="593">
        <f>I132-SUM(K132:N132)</f>
        <v/>
      </c>
      <c r="U132" s="593">
        <f>J132-SUM(O132:R132)</f>
        <v/>
      </c>
    </row>
    <row r="133" hidden="1" outlineLevel="2" ht="12" customHeight="1">
      <c r="B133" s="62" t="n"/>
      <c r="C133" s="395" t="inlineStr">
        <is>
          <t>Short term bonus - CY</t>
        </is>
      </c>
      <c r="D133" s="6" t="n">
        <v>201101</v>
      </c>
      <c r="E133" s="6" t="inlineStr">
        <is>
          <t>201101 - Short Term Bonus - CY</t>
        </is>
      </c>
      <c r="F133" s="2">
        <f>'Balance sheet'!AV133</f>
        <v/>
      </c>
      <c r="G133" s="2">
        <f>'Balance sheet'!AW133</f>
        <v/>
      </c>
      <c r="H133" s="2">
        <f>'Balance sheet'!AX133</f>
        <v/>
      </c>
      <c r="I133" s="2">
        <f>'Balance sheet'!AY133</f>
        <v/>
      </c>
      <c r="J133" s="406">
        <f>'Balance sheet'!AZ133</f>
        <v/>
      </c>
      <c r="K133" s="2">
        <f>I133</f>
        <v/>
      </c>
      <c r="L133" s="2" t="n">
        <v>0</v>
      </c>
      <c r="M133" s="2" t="n">
        <v>0</v>
      </c>
      <c r="N133" s="406" t="n">
        <v>0</v>
      </c>
      <c r="O133" s="2">
        <f>J133</f>
        <v/>
      </c>
      <c r="P133" s="2" t="n">
        <v>0</v>
      </c>
      <c r="Q133" s="2" t="n">
        <v>0</v>
      </c>
      <c r="R133" s="2" t="n">
        <v>0</v>
      </c>
      <c r="T133" s="593">
        <f>I133-SUM(K133:N133)</f>
        <v/>
      </c>
      <c r="U133" s="593">
        <f>J133-SUM(O133:R133)</f>
        <v/>
      </c>
    </row>
    <row r="134" hidden="1" outlineLevel="2" ht="12" customHeight="1">
      <c r="B134" s="62" t="n"/>
      <c r="C134" s="395" t="inlineStr">
        <is>
          <t>Accrued vacation payable</t>
        </is>
      </c>
      <c r="D134" s="6" t="n">
        <v>202201</v>
      </c>
      <c r="E134" s="6" t="inlineStr">
        <is>
          <t>202201 - Accrued Vacation Payable</t>
        </is>
      </c>
      <c r="F134" s="2">
        <f>'Balance sheet'!AV134</f>
        <v/>
      </c>
      <c r="G134" s="2">
        <f>'Balance sheet'!AW134</f>
        <v/>
      </c>
      <c r="H134" s="2">
        <f>'Balance sheet'!AX134</f>
        <v/>
      </c>
      <c r="I134" s="2">
        <f>'Balance sheet'!AY134</f>
        <v/>
      </c>
      <c r="J134" s="406">
        <f>'Balance sheet'!AZ134</f>
        <v/>
      </c>
      <c r="K134" s="2">
        <f>I134</f>
        <v/>
      </c>
      <c r="L134" s="2" t="n">
        <v>0</v>
      </c>
      <c r="M134" s="2" t="n">
        <v>0</v>
      </c>
      <c r="N134" s="406" t="n">
        <v>0</v>
      </c>
      <c r="O134" s="2">
        <f>J134</f>
        <v/>
      </c>
      <c r="P134" s="2" t="n">
        <v>0</v>
      </c>
      <c r="Q134" s="2" t="n">
        <v>0</v>
      </c>
      <c r="R134" s="2" t="n">
        <v>0</v>
      </c>
      <c r="T134" s="593">
        <f>I134-SUM(K134:N134)</f>
        <v/>
      </c>
      <c r="U134" s="593">
        <f>J134-SUM(O134:R134)</f>
        <v/>
      </c>
    </row>
    <row r="135" hidden="1" outlineLevel="2" ht="12" customHeight="1">
      <c r="B135" s="62" t="n"/>
      <c r="C135" s="395" t="inlineStr">
        <is>
          <t>Health spending account</t>
        </is>
      </c>
      <c r="D135" s="6" t="n">
        <v>205331</v>
      </c>
      <c r="E135" s="6" t="inlineStr">
        <is>
          <t>205331 - Health Spending Account</t>
        </is>
      </c>
      <c r="F135" s="2">
        <f>'Balance sheet'!AV135</f>
        <v/>
      </c>
      <c r="G135" s="2">
        <f>'Balance sheet'!AW135</f>
        <v/>
      </c>
      <c r="H135" s="2">
        <f>'Balance sheet'!AX135</f>
        <v/>
      </c>
      <c r="I135" s="2">
        <f>'Balance sheet'!AY135</f>
        <v/>
      </c>
      <c r="J135" s="406">
        <f>'Balance sheet'!AZ135</f>
        <v/>
      </c>
      <c r="K135" s="2">
        <f>I135</f>
        <v/>
      </c>
      <c r="L135" s="2" t="n">
        <v>0</v>
      </c>
      <c r="M135" s="2" t="n">
        <v>0</v>
      </c>
      <c r="N135" s="406" t="n">
        <v>0</v>
      </c>
      <c r="O135" s="2">
        <f>J135</f>
        <v/>
      </c>
      <c r="P135" s="2" t="n">
        <v>0</v>
      </c>
      <c r="Q135" s="2" t="n">
        <v>0</v>
      </c>
      <c r="R135" s="2" t="n">
        <v>0</v>
      </c>
      <c r="T135" s="593">
        <f>I135-SUM(K135:N135)</f>
        <v/>
      </c>
      <c r="U135" s="593">
        <f>J135-SUM(O135:R135)</f>
        <v/>
      </c>
    </row>
    <row r="136" hidden="1" outlineLevel="2" ht="12" customHeight="1">
      <c r="B136" s="62" t="n"/>
      <c r="C136" s="395" t="inlineStr">
        <is>
          <t>Severance liability</t>
        </is>
      </c>
      <c r="D136" s="6" t="n">
        <v>214119</v>
      </c>
      <c r="E136" s="6" t="inlineStr">
        <is>
          <t>214119 - Severance Liability</t>
        </is>
      </c>
      <c r="F136" s="2">
        <f>'Balance sheet'!AV136</f>
        <v/>
      </c>
      <c r="G136" s="2">
        <f>'Balance sheet'!AW136</f>
        <v/>
      </c>
      <c r="H136" s="2">
        <f>'Balance sheet'!AX136</f>
        <v/>
      </c>
      <c r="I136" s="2">
        <f>'Balance sheet'!AY136</f>
        <v/>
      </c>
      <c r="J136" s="406">
        <f>'Balance sheet'!AZ136</f>
        <v/>
      </c>
      <c r="K136" s="2">
        <f>I136</f>
        <v/>
      </c>
      <c r="L136" s="2" t="n">
        <v>0</v>
      </c>
      <c r="M136" s="2" t="n">
        <v>0</v>
      </c>
      <c r="N136" s="406" t="n">
        <v>0</v>
      </c>
      <c r="O136" s="2">
        <f>J136</f>
        <v/>
      </c>
      <c r="P136" s="2" t="n">
        <v>0</v>
      </c>
      <c r="Q136" s="2" t="n">
        <v>0</v>
      </c>
      <c r="R136" s="2" t="n">
        <v>0</v>
      </c>
      <c r="T136" s="593">
        <f>I136-SUM(K136:N136)</f>
        <v/>
      </c>
      <c r="U136" s="593">
        <f>J136-SUM(O136:R136)</f>
        <v/>
      </c>
    </row>
    <row r="137" hidden="1" outlineLevel="2" ht="12" customHeight="1">
      <c r="B137" s="62" t="n"/>
      <c r="C137" s="395" t="inlineStr">
        <is>
          <t>Miscellaneous payroll liabilities</t>
        </is>
      </c>
      <c r="D137" s="6" t="n">
        <v>205151</v>
      </c>
      <c r="E137" s="6" t="inlineStr">
        <is>
          <t>205151 - Miscellaneous Payroll Liabilities</t>
        </is>
      </c>
      <c r="F137" s="2">
        <f>'Balance sheet'!AV137</f>
        <v/>
      </c>
      <c r="G137" s="2">
        <f>'Balance sheet'!AW137</f>
        <v/>
      </c>
      <c r="H137" s="2">
        <f>'Balance sheet'!AX137</f>
        <v/>
      </c>
      <c r="I137" s="2">
        <f>'Balance sheet'!AY137</f>
        <v/>
      </c>
      <c r="J137" s="406">
        <f>'Balance sheet'!AZ137</f>
        <v/>
      </c>
      <c r="K137" s="2">
        <f>I137</f>
        <v/>
      </c>
      <c r="L137" s="2" t="n">
        <v>0</v>
      </c>
      <c r="M137" s="2" t="n">
        <v>0</v>
      </c>
      <c r="N137" s="406" t="n">
        <v>0</v>
      </c>
      <c r="O137" s="2">
        <f>J137</f>
        <v/>
      </c>
      <c r="P137" s="2" t="n">
        <v>0</v>
      </c>
      <c r="Q137" s="2" t="n">
        <v>0</v>
      </c>
      <c r="R137" s="2" t="n">
        <v>0</v>
      </c>
      <c r="T137" s="593">
        <f>I137-SUM(K137:N137)</f>
        <v/>
      </c>
      <c r="U137" s="593">
        <f>J137-SUM(O137:R137)</f>
        <v/>
      </c>
    </row>
    <row r="138" hidden="1" outlineLevel="2" ht="12" customHeight="1">
      <c r="B138" s="62" t="n"/>
      <c r="C138" s="395" t="inlineStr">
        <is>
          <t>Payroll taxes/ded conv acct</t>
        </is>
      </c>
      <c r="D138" s="6" t="n">
        <v>205645</v>
      </c>
      <c r="E138" s="6" t="inlineStr">
        <is>
          <t>205645 - Payroll Taxes/Ded Conv Acct</t>
        </is>
      </c>
      <c r="F138" s="2">
        <f>'Balance sheet'!AV138</f>
        <v/>
      </c>
      <c r="G138" s="2">
        <f>'Balance sheet'!AW138</f>
        <v/>
      </c>
      <c r="H138" s="2">
        <f>'Balance sheet'!AX138</f>
        <v/>
      </c>
      <c r="I138" s="2">
        <f>'Balance sheet'!AY138</f>
        <v/>
      </c>
      <c r="J138" s="406">
        <f>'Balance sheet'!AZ138</f>
        <v/>
      </c>
      <c r="K138" s="2">
        <f>I138</f>
        <v/>
      </c>
      <c r="L138" s="2" t="n">
        <v>0</v>
      </c>
      <c r="M138" s="2" t="n">
        <v>0</v>
      </c>
      <c r="N138" s="406" t="n">
        <v>0</v>
      </c>
      <c r="O138" s="2">
        <f>J138</f>
        <v/>
      </c>
      <c r="P138" s="2" t="n">
        <v>0</v>
      </c>
      <c r="Q138" s="2" t="n">
        <v>0</v>
      </c>
      <c r="R138" s="2" t="n">
        <v>0</v>
      </c>
      <c r="T138" s="593">
        <f>I138-SUM(K138:N138)</f>
        <v/>
      </c>
      <c r="U138" s="593">
        <f>J138-SUM(O138:R138)</f>
        <v/>
      </c>
    </row>
    <row r="139" hidden="1" outlineLevel="2" ht="12" customHeight="1">
      <c r="B139" s="62" t="n"/>
      <c r="C139" s="395" t="inlineStr">
        <is>
          <t>Supplemental exec pension-payable</t>
        </is>
      </c>
      <c r="D139" s="6" t="n">
        <v>205625</v>
      </c>
      <c r="E139" s="6" t="inlineStr">
        <is>
          <t>205625 - Supplemental Exec Pension-Payable</t>
        </is>
      </c>
      <c r="F139" s="2">
        <f>'Balance sheet'!AV139</f>
        <v/>
      </c>
      <c r="G139" s="2">
        <f>'Balance sheet'!AW139</f>
        <v/>
      </c>
      <c r="H139" s="2">
        <f>'Balance sheet'!AX139</f>
        <v/>
      </c>
      <c r="I139" s="2">
        <f>'Balance sheet'!AY139</f>
        <v/>
      </c>
      <c r="J139" s="406">
        <f>'Balance sheet'!AZ139</f>
        <v/>
      </c>
      <c r="K139" s="2">
        <f>I139</f>
        <v/>
      </c>
      <c r="L139" s="2" t="n">
        <v>0</v>
      </c>
      <c r="M139" s="2" t="n">
        <v>0</v>
      </c>
      <c r="N139" s="406" t="n">
        <v>0</v>
      </c>
      <c r="O139" s="2">
        <f>J139</f>
        <v/>
      </c>
      <c r="P139" s="2" t="n">
        <v>0</v>
      </c>
      <c r="Q139" s="2" t="n">
        <v>0</v>
      </c>
      <c r="R139" s="2" t="n">
        <v>0</v>
      </c>
      <c r="T139" s="593">
        <f>I139-SUM(K139:N139)</f>
        <v/>
      </c>
      <c r="U139" s="593">
        <f>J139-SUM(O139:R139)</f>
        <v/>
      </c>
    </row>
    <row r="140" hidden="1" outlineLevel="2" ht="12" customHeight="1">
      <c r="B140" s="62" t="n"/>
      <c r="C140" s="395" t="inlineStr">
        <is>
          <t>Rrsp contribution liability- - sunlife</t>
        </is>
      </c>
      <c r="D140" s="6" t="n">
        <v>205630</v>
      </c>
      <c r="E140" s="6" t="inlineStr">
        <is>
          <t>205630 - RRSP Contribution Liability- - SunLife</t>
        </is>
      </c>
      <c r="F140" s="2">
        <f>'Balance sheet'!AV140</f>
        <v/>
      </c>
      <c r="G140" s="2">
        <f>'Balance sheet'!AW140</f>
        <v/>
      </c>
      <c r="H140" s="2">
        <f>'Balance sheet'!AX140</f>
        <v/>
      </c>
      <c r="I140" s="2">
        <f>'Balance sheet'!AY140</f>
        <v/>
      </c>
      <c r="J140" s="406">
        <f>'Balance sheet'!AZ140</f>
        <v/>
      </c>
      <c r="K140" s="2">
        <f>I140</f>
        <v/>
      </c>
      <c r="L140" s="2" t="n">
        <v>0</v>
      </c>
      <c r="M140" s="2" t="n">
        <v>0</v>
      </c>
      <c r="N140" s="406" t="n">
        <v>0</v>
      </c>
      <c r="O140" s="2">
        <f>J140</f>
        <v/>
      </c>
      <c r="P140" s="2" t="n">
        <v>0</v>
      </c>
      <c r="Q140" s="2" t="n">
        <v>0</v>
      </c>
      <c r="R140" s="2" t="n">
        <v>0</v>
      </c>
      <c r="T140" s="593">
        <f>I140-SUM(K140:N140)</f>
        <v/>
      </c>
      <c r="U140" s="593">
        <f>J140-SUM(O140:R140)</f>
        <v/>
      </c>
    </row>
    <row r="141" hidden="1" outlineLevel="2" ht="12" customHeight="1">
      <c r="B141" s="62" t="n"/>
      <c r="C141" s="395" t="inlineStr">
        <is>
          <t>Canada pension plan payable</t>
        </is>
      </c>
      <c r="D141" s="6" t="n">
        <v>205621</v>
      </c>
      <c r="E141" s="6" t="inlineStr">
        <is>
          <t>205621 - Canada Pension Plan Payable</t>
        </is>
      </c>
      <c r="F141" s="2">
        <f>'Balance sheet'!AV141</f>
        <v/>
      </c>
      <c r="G141" s="2">
        <f>'Balance sheet'!AW141</f>
        <v/>
      </c>
      <c r="H141" s="2">
        <f>'Balance sheet'!AX141</f>
        <v/>
      </c>
      <c r="I141" s="2">
        <f>'Balance sheet'!AY141</f>
        <v/>
      </c>
      <c r="J141" s="406">
        <f>'Balance sheet'!AZ141</f>
        <v/>
      </c>
      <c r="K141" s="2">
        <f>I141</f>
        <v/>
      </c>
      <c r="L141" s="2" t="n">
        <v>0</v>
      </c>
      <c r="M141" s="2" t="n">
        <v>0</v>
      </c>
      <c r="N141" s="406" t="n">
        <v>0</v>
      </c>
      <c r="O141" s="2">
        <f>J141</f>
        <v/>
      </c>
      <c r="P141" s="2" t="n">
        <v>0</v>
      </c>
      <c r="Q141" s="2" t="n">
        <v>0</v>
      </c>
      <c r="R141" s="2" t="n">
        <v>0</v>
      </c>
      <c r="T141" s="593">
        <f>I141-SUM(K141:N141)</f>
        <v/>
      </c>
      <c r="U141" s="593">
        <f>J141-SUM(O141:R141)</f>
        <v/>
      </c>
    </row>
    <row r="142" hidden="1" outlineLevel="2" ht="12" customHeight="1">
      <c r="B142" s="62" t="n"/>
      <c r="C142" s="395" t="inlineStr">
        <is>
          <t>Employee govt garnishments payable</t>
        </is>
      </c>
      <c r="D142" s="6" t="n">
        <v>205699</v>
      </c>
      <c r="E142" s="6" t="inlineStr">
        <is>
          <t>205699 - -Employee Govt Garnishments Payable</t>
        </is>
      </c>
      <c r="F142" s="2">
        <f>'Balance sheet'!AV142</f>
        <v/>
      </c>
      <c r="G142" s="2">
        <f>'Balance sheet'!AW142</f>
        <v/>
      </c>
      <c r="H142" s="2">
        <f>'Balance sheet'!AX142</f>
        <v/>
      </c>
      <c r="I142" s="2">
        <f>'Balance sheet'!AY142</f>
        <v/>
      </c>
      <c r="J142" s="406">
        <f>'Balance sheet'!AZ142</f>
        <v/>
      </c>
      <c r="K142" s="2">
        <f>I142</f>
        <v/>
      </c>
      <c r="L142" s="2" t="n">
        <v>0</v>
      </c>
      <c r="M142" s="2" t="n">
        <v>0</v>
      </c>
      <c r="N142" s="406" t="n">
        <v>0</v>
      </c>
      <c r="O142" s="2">
        <f>J142</f>
        <v/>
      </c>
      <c r="P142" s="2" t="n">
        <v>0</v>
      </c>
      <c r="Q142" s="2" t="n">
        <v>0</v>
      </c>
      <c r="R142" s="2" t="n">
        <v>0</v>
      </c>
      <c r="T142" s="593">
        <f>I142-SUM(K142:N142)</f>
        <v/>
      </c>
      <c r="U142" s="593">
        <f>J142-SUM(O142:R142)</f>
        <v/>
      </c>
    </row>
    <row r="143" hidden="1" outlineLevel="2" ht="12" customHeight="1">
      <c r="B143" s="62" t="n"/>
      <c r="C143" s="395" t="inlineStr">
        <is>
          <t>Payroll clearing account</t>
        </is>
      </c>
      <c r="D143" s="6" t="n">
        <v>205199</v>
      </c>
      <c r="E143" s="6" t="inlineStr">
        <is>
          <t>205199 - Payroll Clearing Account</t>
        </is>
      </c>
      <c r="F143" s="2">
        <f>'Balance sheet'!AV143</f>
        <v/>
      </c>
      <c r="G143" s="2">
        <f>'Balance sheet'!AW143</f>
        <v/>
      </c>
      <c r="H143" s="2">
        <f>'Balance sheet'!AX143</f>
        <v/>
      </c>
      <c r="I143" s="2">
        <f>'Balance sheet'!AY143</f>
        <v/>
      </c>
      <c r="J143" s="406">
        <f>'Balance sheet'!AZ143</f>
        <v/>
      </c>
      <c r="K143" s="2">
        <f>I143</f>
        <v/>
      </c>
      <c r="L143" s="2" t="n">
        <v>0</v>
      </c>
      <c r="M143" s="2" t="n">
        <v>0</v>
      </c>
      <c r="N143" s="406" t="n">
        <v>0</v>
      </c>
      <c r="O143" s="2">
        <f>J143</f>
        <v/>
      </c>
      <c r="P143" s="2" t="n">
        <v>0</v>
      </c>
      <c r="Q143" s="2" t="n">
        <v>0</v>
      </c>
      <c r="R143" s="2" t="n">
        <v>0</v>
      </c>
      <c r="T143" s="593">
        <f>I143-SUM(K143:N143)</f>
        <v/>
      </c>
      <c r="U143" s="593">
        <f>J143-SUM(O143:R143)</f>
        <v/>
      </c>
    </row>
    <row r="144" hidden="1" outlineLevel="2" ht="12" customHeight="1">
      <c r="B144" s="62" t="n"/>
      <c r="C144" s="395" t="inlineStr">
        <is>
          <t>Canadian employer health</t>
        </is>
      </c>
      <c r="D144" s="6" t="n">
        <v>205623</v>
      </c>
      <c r="E144" s="6" t="inlineStr">
        <is>
          <t>205623 - Canadian Employer Health(EHT</t>
        </is>
      </c>
      <c r="F144" s="2">
        <f>'Balance sheet'!AV144</f>
        <v/>
      </c>
      <c r="G144" s="2">
        <f>'Balance sheet'!AW144</f>
        <v/>
      </c>
      <c r="H144" s="2">
        <f>'Balance sheet'!AX144</f>
        <v/>
      </c>
      <c r="I144" s="2">
        <f>'Balance sheet'!AY144</f>
        <v/>
      </c>
      <c r="J144" s="406">
        <f>'Balance sheet'!AZ144</f>
        <v/>
      </c>
      <c r="K144" s="2">
        <f>I144</f>
        <v/>
      </c>
      <c r="L144" s="2" t="n">
        <v>0</v>
      </c>
      <c r="M144" s="2" t="n">
        <v>0</v>
      </c>
      <c r="N144" s="406" t="n">
        <v>0</v>
      </c>
      <c r="O144" s="2">
        <f>J144</f>
        <v/>
      </c>
      <c r="P144" s="2" t="n">
        <v>0</v>
      </c>
      <c r="Q144" s="2" t="n">
        <v>0</v>
      </c>
      <c r="R144" s="2" t="n">
        <v>0</v>
      </c>
      <c r="T144" s="593">
        <f>I144-SUM(K144:N144)</f>
        <v/>
      </c>
      <c r="U144" s="593">
        <f>J144-SUM(O144:R144)</f>
        <v/>
      </c>
    </row>
    <row r="145" hidden="1" outlineLevel="2" ht="12" customHeight="1">
      <c r="B145" s="62" t="n"/>
      <c r="C145" s="395" t="inlineStr">
        <is>
          <t>Canadian employment ins (EI)</t>
        </is>
      </c>
      <c r="D145" s="6" t="n">
        <v>205622</v>
      </c>
      <c r="E145" s="6" t="inlineStr">
        <is>
          <t>205622 - Canadian Employment Ins (EI)</t>
        </is>
      </c>
      <c r="F145" s="2">
        <f>'Balance sheet'!AV145</f>
        <v/>
      </c>
      <c r="G145" s="2">
        <f>'Balance sheet'!AW145</f>
        <v/>
      </c>
      <c r="H145" s="2">
        <f>'Balance sheet'!AX145</f>
        <v/>
      </c>
      <c r="I145" s="2">
        <f>'Balance sheet'!AY145</f>
        <v/>
      </c>
      <c r="J145" s="406">
        <f>'Balance sheet'!AZ145</f>
        <v/>
      </c>
      <c r="K145" s="2">
        <f>I145</f>
        <v/>
      </c>
      <c r="L145" s="2" t="n">
        <v>0</v>
      </c>
      <c r="M145" s="2" t="n">
        <v>0</v>
      </c>
      <c r="N145" s="406" t="n">
        <v>0</v>
      </c>
      <c r="O145" s="2">
        <f>J145</f>
        <v/>
      </c>
      <c r="P145" s="2" t="n">
        <v>0</v>
      </c>
      <c r="Q145" s="2" t="n">
        <v>0</v>
      </c>
      <c r="R145" s="2" t="n">
        <v>0</v>
      </c>
      <c r="T145" s="593">
        <f>I145-SUM(K145:N145)</f>
        <v/>
      </c>
      <c r="U145" s="593">
        <f>J145-SUM(O145:R145)</f>
        <v/>
      </c>
    </row>
    <row r="146" hidden="1" outlineLevel="2" ht="12" customHeight="1">
      <c r="B146" s="62" t="n"/>
      <c r="C146" s="395" t="inlineStr">
        <is>
          <t>AD&amp;D</t>
        </is>
      </c>
      <c r="D146" s="6" t="n">
        <v>205202</v>
      </c>
      <c r="E146" s="6" t="inlineStr">
        <is>
          <t>205202 - AD&amp;D</t>
        </is>
      </c>
      <c r="F146" s="2">
        <f>'Balance sheet'!AV146</f>
        <v/>
      </c>
      <c r="G146" s="2">
        <f>'Balance sheet'!AW146</f>
        <v/>
      </c>
      <c r="H146" s="2">
        <f>'Balance sheet'!AX146</f>
        <v/>
      </c>
      <c r="I146" s="2">
        <f>'Balance sheet'!AY146</f>
        <v/>
      </c>
      <c r="J146" s="406">
        <f>'Balance sheet'!AZ146</f>
        <v/>
      </c>
      <c r="K146" s="2">
        <f>I146</f>
        <v/>
      </c>
      <c r="L146" s="2" t="n">
        <v>0</v>
      </c>
      <c r="M146" s="2" t="n">
        <v>0</v>
      </c>
      <c r="N146" s="406" t="n">
        <v>0</v>
      </c>
      <c r="O146" s="2">
        <f>J146</f>
        <v/>
      </c>
      <c r="P146" s="2" t="n">
        <v>0</v>
      </c>
      <c r="Q146" s="2" t="n">
        <v>0</v>
      </c>
      <c r="R146" s="2" t="n">
        <v>0</v>
      </c>
      <c r="T146" s="593">
        <f>I146-SUM(K146:N146)</f>
        <v/>
      </c>
      <c r="U146" s="593">
        <f>J146-SUM(O146:R146)</f>
        <v/>
      </c>
    </row>
    <row r="147" hidden="1" outlineLevel="2" ht="12" customHeight="1">
      <c r="B147" s="62" t="n"/>
      <c r="C147" s="395" t="inlineStr">
        <is>
          <t>Cooperative employee css pension</t>
        </is>
      </c>
      <c r="D147" s="6" t="n">
        <v>205624</v>
      </c>
      <c r="E147" s="6" t="inlineStr">
        <is>
          <t>205624 - Cooperative Employee CSS Pension</t>
        </is>
      </c>
      <c r="F147" s="2">
        <f>'Balance sheet'!AV147</f>
        <v/>
      </c>
      <c r="G147" s="2">
        <f>'Balance sheet'!AW147</f>
        <v/>
      </c>
      <c r="H147" s="2">
        <f>'Balance sheet'!AX147</f>
        <v/>
      </c>
      <c r="I147" s="2">
        <f>'Balance sheet'!AY147</f>
        <v/>
      </c>
      <c r="J147" s="406">
        <f>'Balance sheet'!AZ147</f>
        <v/>
      </c>
      <c r="K147" s="2">
        <f>I147</f>
        <v/>
      </c>
      <c r="L147" s="2" t="n">
        <v>0</v>
      </c>
      <c r="M147" s="2" t="n">
        <v>0</v>
      </c>
      <c r="N147" s="406" t="n">
        <v>0</v>
      </c>
      <c r="O147" s="2">
        <f>J147</f>
        <v/>
      </c>
      <c r="P147" s="2" t="n">
        <v>0</v>
      </c>
      <c r="Q147" s="2" t="n">
        <v>0</v>
      </c>
      <c r="R147" s="2" t="n">
        <v>0</v>
      </c>
      <c r="T147" s="593">
        <f>I147-SUM(K147:N147)</f>
        <v/>
      </c>
      <c r="U147" s="593">
        <f>J147-SUM(O147:R147)</f>
        <v/>
      </c>
    </row>
    <row r="148" hidden="1" outlineLevel="2" ht="12" customHeight="1">
      <c r="B148" s="62" t="n"/>
      <c r="C148" s="395" t="inlineStr">
        <is>
          <t>Medical insurance</t>
        </is>
      </c>
      <c r="D148" s="6" t="n">
        <v>205301</v>
      </c>
      <c r="E148" s="6" t="inlineStr">
        <is>
          <t>205301 - Medical Insurance</t>
        </is>
      </c>
      <c r="F148" s="2">
        <f>'Balance sheet'!AV148</f>
        <v/>
      </c>
      <c r="G148" s="2">
        <f>'Balance sheet'!AW148</f>
        <v/>
      </c>
      <c r="H148" s="2">
        <f>'Balance sheet'!AX148</f>
        <v/>
      </c>
      <c r="I148" s="2">
        <f>'Balance sheet'!AY148</f>
        <v/>
      </c>
      <c r="J148" s="406">
        <f>'Balance sheet'!AZ148</f>
        <v/>
      </c>
      <c r="K148" s="2">
        <f>I148</f>
        <v/>
      </c>
      <c r="L148" s="2" t="n">
        <v>0</v>
      </c>
      <c r="M148" s="2" t="n">
        <v>0</v>
      </c>
      <c r="N148" s="406" t="n">
        <v>0</v>
      </c>
      <c r="O148" s="2">
        <f>J148</f>
        <v/>
      </c>
      <c r="P148" s="2" t="n">
        <v>0</v>
      </c>
      <c r="Q148" s="2" t="n">
        <v>0</v>
      </c>
      <c r="R148" s="2" t="n">
        <v>0</v>
      </c>
      <c r="T148" s="593">
        <f>I148-SUM(K148:N148)</f>
        <v/>
      </c>
      <c r="U148" s="593">
        <f>J148-SUM(O148:R148)</f>
        <v/>
      </c>
    </row>
    <row r="149" hidden="1" outlineLevel="2" ht="12" customHeight="1">
      <c r="B149" s="62" t="n"/>
      <c r="C149" s="395" t="inlineStr">
        <is>
          <t>Long term disability insurance</t>
        </is>
      </c>
      <c r="D149" s="6" t="n">
        <v>205208</v>
      </c>
      <c r="E149" s="6" t="inlineStr">
        <is>
          <t>205208 - Long Term Disability Insurance</t>
        </is>
      </c>
      <c r="F149" s="2">
        <f>'Balance sheet'!AV149</f>
        <v/>
      </c>
      <c r="G149" s="2">
        <f>'Balance sheet'!AW149</f>
        <v/>
      </c>
      <c r="H149" s="2">
        <f>'Balance sheet'!AX149</f>
        <v/>
      </c>
      <c r="I149" s="2">
        <f>'Balance sheet'!AY149</f>
        <v/>
      </c>
      <c r="J149" s="406">
        <f>'Balance sheet'!AZ149</f>
        <v/>
      </c>
      <c r="K149" s="2">
        <f>I149</f>
        <v/>
      </c>
      <c r="L149" s="2" t="n">
        <v>0</v>
      </c>
      <c r="M149" s="2" t="n">
        <v>0</v>
      </c>
      <c r="N149" s="406" t="n">
        <v>0</v>
      </c>
      <c r="O149" s="2">
        <f>J149</f>
        <v/>
      </c>
      <c r="P149" s="2" t="n">
        <v>0</v>
      </c>
      <c r="Q149" s="2" t="n">
        <v>0</v>
      </c>
      <c r="R149" s="2" t="n">
        <v>0</v>
      </c>
      <c r="T149" s="593">
        <f>I149-SUM(K149:N149)</f>
        <v/>
      </c>
      <c r="U149" s="593">
        <f>J149-SUM(O149:R149)</f>
        <v/>
      </c>
    </row>
    <row r="150" hidden="1" outlineLevel="2" ht="12" customHeight="1">
      <c r="B150" s="62" t="n"/>
      <c r="C150" s="336" t="inlineStr">
        <is>
          <t>Dental insurance</t>
        </is>
      </c>
      <c r="D150" s="393" t="n">
        <v>205321</v>
      </c>
      <c r="E150" s="393" t="inlineStr">
        <is>
          <t>205321 - Dental Insurance</t>
        </is>
      </c>
      <c r="F150" s="402">
        <f>'Balance sheet'!AV150</f>
        <v/>
      </c>
      <c r="G150" s="402">
        <f>'Balance sheet'!AW150</f>
        <v/>
      </c>
      <c r="H150" s="402">
        <f>'Balance sheet'!AX150</f>
        <v/>
      </c>
      <c r="I150" s="402">
        <f>'Balance sheet'!AY150</f>
        <v/>
      </c>
      <c r="J150" s="407">
        <f>'Balance sheet'!AZ150</f>
        <v/>
      </c>
      <c r="K150" s="402">
        <f>I150</f>
        <v/>
      </c>
      <c r="L150" s="402" t="n">
        <v>0</v>
      </c>
      <c r="M150" s="402" t="n">
        <v>0</v>
      </c>
      <c r="N150" s="407" t="n">
        <v>0</v>
      </c>
      <c r="O150" s="402">
        <f>J150</f>
        <v/>
      </c>
      <c r="P150" s="402" t="n">
        <v>0</v>
      </c>
      <c r="Q150" s="402" t="n">
        <v>0</v>
      </c>
      <c r="R150" s="402" t="n">
        <v>0</v>
      </c>
      <c r="T150" s="593">
        <f>I150-SUM(K150:N150)</f>
        <v/>
      </c>
      <c r="U150" s="593">
        <f>J150-SUM(O150:R150)</f>
        <v/>
      </c>
    </row>
    <row r="151" outlineLevel="1" collapsed="1" ht="12" customHeight="1">
      <c r="B151" s="62" t="n"/>
      <c r="C151" s="396" t="inlineStr">
        <is>
          <t xml:space="preserve">Payroll benefits taxes payable &amp; accrued </t>
        </is>
      </c>
      <c r="F151" s="2">
        <f>SUM(F132:F150)</f>
        <v/>
      </c>
      <c r="G151" s="2">
        <f>SUM(G132:G150)</f>
        <v/>
      </c>
      <c r="H151" s="2">
        <f>SUM(H132:H150)</f>
        <v/>
      </c>
      <c r="I151" s="2">
        <f>SUM(I132:I150)</f>
        <v/>
      </c>
      <c r="J151" s="406">
        <f>SUM(J132:J150)</f>
        <v/>
      </c>
      <c r="K151" s="2">
        <f>SUM(K132:K150)</f>
        <v/>
      </c>
      <c r="L151" s="2">
        <f>SUM(L132:L150)</f>
        <v/>
      </c>
      <c r="M151" s="2">
        <f>SUM(M132:M150)</f>
        <v/>
      </c>
      <c r="N151" s="406">
        <f>SUM(N132:N150)</f>
        <v/>
      </c>
      <c r="O151" s="2">
        <f>SUM(O132:O150)</f>
        <v/>
      </c>
      <c r="P151" s="2">
        <f>SUM(P132:P150)</f>
        <v/>
      </c>
      <c r="Q151" s="2">
        <f>SUM(Q132:Q150)</f>
        <v/>
      </c>
      <c r="R151" s="2">
        <f>SUM(R132:R150)</f>
        <v/>
      </c>
      <c r="T151" s="593">
        <f>I151-SUM(K151:N151)</f>
        <v/>
      </c>
      <c r="U151" s="593">
        <f>J151-SUM(O151:R151)</f>
        <v/>
      </c>
    </row>
    <row r="152" hidden="1" outlineLevel="2" ht="12" customHeight="1">
      <c r="B152" s="62" t="n"/>
      <c r="C152" s="395" t="inlineStr">
        <is>
          <t>Current income tax liability-federal and prov</t>
        </is>
      </c>
      <c r="D152" s="6" t="n">
        <v>209101</v>
      </c>
      <c r="E152" s="6" t="inlineStr">
        <is>
          <t>209101 - -Current Income Tax Liability-Federal and Prov</t>
        </is>
      </c>
      <c r="F152" s="2">
        <f>'Balance sheet'!AV152</f>
        <v/>
      </c>
      <c r="G152" s="2">
        <f>'Balance sheet'!AW152</f>
        <v/>
      </c>
      <c r="H152" s="2">
        <f>'Balance sheet'!AX152</f>
        <v/>
      </c>
      <c r="I152" s="2">
        <f>'Balance sheet'!AY152</f>
        <v/>
      </c>
      <c r="J152" s="406">
        <f>'Balance sheet'!AZ152</f>
        <v/>
      </c>
      <c r="K152" s="2" t="n">
        <v>0</v>
      </c>
      <c r="L152" s="2" t="n">
        <v>0</v>
      </c>
      <c r="M152" s="2">
        <f>I152</f>
        <v/>
      </c>
      <c r="N152" s="406" t="n">
        <v>0</v>
      </c>
      <c r="O152" s="2" t="n">
        <v>0</v>
      </c>
      <c r="P152" s="2" t="n">
        <v>0</v>
      </c>
      <c r="Q152" s="2">
        <f>J152</f>
        <v/>
      </c>
      <c r="R152" s="2" t="n">
        <v>0</v>
      </c>
      <c r="T152" s="593">
        <f>I152-SUM(K152:N152)</f>
        <v/>
      </c>
      <c r="U152" s="593">
        <f>J152-SUM(O152:R152)</f>
        <v/>
      </c>
    </row>
    <row r="153" hidden="1" outlineLevel="2" ht="12" customHeight="1">
      <c r="B153" s="62" t="n"/>
      <c r="C153" s="336" t="inlineStr">
        <is>
          <t>Curr income tax liab IFRS adj- IFRS15</t>
        </is>
      </c>
      <c r="D153" s="393" t="n">
        <v>209115</v>
      </c>
      <c r="E153" s="393" t="inlineStr">
        <is>
          <t>209115 - Curr Income Tax Liab IFRS ADJ- IFRS15</t>
        </is>
      </c>
      <c r="F153" s="402">
        <f>'Balance sheet'!AV153</f>
        <v/>
      </c>
      <c r="G153" s="402">
        <f>'Balance sheet'!AW153</f>
        <v/>
      </c>
      <c r="H153" s="402">
        <f>'Balance sheet'!AX153</f>
        <v/>
      </c>
      <c r="I153" s="402">
        <f>'Balance sheet'!AY153</f>
        <v/>
      </c>
      <c r="J153" s="407">
        <f>'Balance sheet'!AZ153</f>
        <v/>
      </c>
      <c r="K153" s="402" t="n">
        <v>0</v>
      </c>
      <c r="L153" s="402" t="n">
        <v>0</v>
      </c>
      <c r="M153" s="402">
        <f>I153</f>
        <v/>
      </c>
      <c r="N153" s="407" t="n">
        <v>0</v>
      </c>
      <c r="O153" s="402" t="n">
        <v>0</v>
      </c>
      <c r="P153" s="402" t="n">
        <v>0</v>
      </c>
      <c r="Q153" s="402">
        <f>J153</f>
        <v/>
      </c>
      <c r="R153" s="402" t="n">
        <v>0</v>
      </c>
      <c r="T153" s="593">
        <f>I153-SUM(K153:N153)</f>
        <v/>
      </c>
      <c r="U153" s="593">
        <f>J153-SUM(O153:R153)</f>
        <v/>
      </c>
    </row>
    <row r="154" outlineLevel="1" collapsed="1" ht="12" customHeight="1">
      <c r="B154" s="62" t="n"/>
      <c r="C154" s="396" t="inlineStr">
        <is>
          <t xml:space="preserve">Income tax payable </t>
        </is>
      </c>
      <c r="F154" s="2">
        <f>SUM(F152:F153)</f>
        <v/>
      </c>
      <c r="G154" s="2">
        <f>SUM(G152:G153)</f>
        <v/>
      </c>
      <c r="H154" s="2">
        <f>SUM(H152:H153)</f>
        <v/>
      </c>
      <c r="I154" s="2">
        <f>SUM(I152:I153)</f>
        <v/>
      </c>
      <c r="J154" s="406">
        <f>SUM(J152:J153)</f>
        <v/>
      </c>
      <c r="K154" s="2">
        <f>SUM(K152:K153)</f>
        <v/>
      </c>
      <c r="L154" s="2">
        <f>SUM(L152:L153)</f>
        <v/>
      </c>
      <c r="M154" s="2">
        <f>SUM(M152:M153)</f>
        <v/>
      </c>
      <c r="N154" s="406">
        <f>SUM(N152:N153)</f>
        <v/>
      </c>
      <c r="O154" s="2">
        <f>SUM(O152:O153)</f>
        <v/>
      </c>
      <c r="P154" s="2">
        <f>SUM(P152:P153)</f>
        <v/>
      </c>
      <c r="Q154" s="2">
        <f>SUM(Q152:Q153)</f>
        <v/>
      </c>
      <c r="R154" s="2">
        <f>SUM(R152:R153)</f>
        <v/>
      </c>
      <c r="T154" s="593">
        <f>I154-SUM(K154:N154)</f>
        <v/>
      </c>
      <c r="U154" s="593">
        <f>J154-SUM(O154:R154)</f>
        <v/>
      </c>
    </row>
    <row r="155" hidden="1" outlineLevel="2" ht="12" customHeight="1">
      <c r="B155" s="62" t="n"/>
      <c r="C155" s="336" t="inlineStr">
        <is>
          <t>Current maturity - prop lease- everlink</t>
        </is>
      </c>
      <c r="D155" s="393" t="n">
        <v>230116</v>
      </c>
      <c r="E155" s="393" t="inlineStr">
        <is>
          <t>230116 - Current Maturity - Prop Lease- Everlink</t>
        </is>
      </c>
      <c r="F155" s="402">
        <f>'Balance sheet'!AV155</f>
        <v/>
      </c>
      <c r="G155" s="402">
        <f>'Balance sheet'!AW155</f>
        <v/>
      </c>
      <c r="H155" s="402">
        <f>'Balance sheet'!AX155</f>
        <v/>
      </c>
      <c r="I155" s="402">
        <f>'Balance sheet'!AY155</f>
        <v/>
      </c>
      <c r="J155" s="407">
        <f>'Balance sheet'!AZ155</f>
        <v/>
      </c>
      <c r="K155" s="402" t="n">
        <v>0</v>
      </c>
      <c r="L155" s="402" t="n">
        <v>0</v>
      </c>
      <c r="M155" s="402">
        <f>I155</f>
        <v/>
      </c>
      <c r="N155" s="407" t="n">
        <v>0</v>
      </c>
      <c r="O155" s="402" t="n">
        <v>0</v>
      </c>
      <c r="P155" s="402" t="n">
        <v>0</v>
      </c>
      <c r="Q155" s="402">
        <f>J155</f>
        <v/>
      </c>
      <c r="R155" s="402" t="n">
        <v>0</v>
      </c>
      <c r="T155" s="593">
        <f>I155-SUM(K155:N155)</f>
        <v/>
      </c>
      <c r="U155" s="593">
        <f>J155-SUM(O155:R155)</f>
        <v/>
      </c>
    </row>
    <row r="156" outlineLevel="1" collapsed="1" ht="12" customHeight="1">
      <c r="B156" s="62" t="n"/>
      <c r="C156" s="396" t="inlineStr">
        <is>
          <t xml:space="preserve">Finance lease obligation - property lease </t>
        </is>
      </c>
      <c r="F156" s="2">
        <f>SUM(F155:F155)</f>
        <v/>
      </c>
      <c r="G156" s="2">
        <f>SUM(G155:G155)</f>
        <v/>
      </c>
      <c r="H156" s="2">
        <f>SUM(H155:H155)</f>
        <v/>
      </c>
      <c r="I156" s="2">
        <f>SUM(I155:I155)</f>
        <v/>
      </c>
      <c r="J156" s="406">
        <f>SUM(J155:J155)</f>
        <v/>
      </c>
      <c r="K156" s="2">
        <f>SUM(K155:K155)</f>
        <v/>
      </c>
      <c r="L156" s="2">
        <f>SUM(L155:L155)</f>
        <v/>
      </c>
      <c r="M156" s="2">
        <f>SUM(M155:M155)</f>
        <v/>
      </c>
      <c r="N156" s="406">
        <f>SUM(N155:N155)</f>
        <v/>
      </c>
      <c r="O156" s="2">
        <f>SUM(O155:O155)</f>
        <v/>
      </c>
      <c r="P156" s="2">
        <f>SUM(P155:P155)</f>
        <v/>
      </c>
      <c r="Q156" s="2">
        <f>SUM(Q155:Q155)</f>
        <v/>
      </c>
      <c r="R156" s="2">
        <f>SUM(R155:R155)</f>
        <v/>
      </c>
      <c r="T156" s="593">
        <f>I156-SUM(K156:N156)</f>
        <v/>
      </c>
      <c r="U156" s="593">
        <f>J156-SUM(O156:R156)</f>
        <v/>
      </c>
    </row>
    <row r="157" hidden="1" outlineLevel="2" ht="12" customHeight="1">
      <c r="B157" s="62" t="n"/>
      <c r="C157" s="336" t="inlineStr">
        <is>
          <t>Current maturities - finance lease</t>
        </is>
      </c>
      <c r="D157" s="393" t="n">
        <v>230101</v>
      </c>
      <c r="E157" s="393" t="inlineStr">
        <is>
          <t>230101 - Current Maturities - Finance Lease</t>
        </is>
      </c>
      <c r="F157" s="402">
        <f>'Balance sheet'!AV157</f>
        <v/>
      </c>
      <c r="G157" s="402">
        <f>'Balance sheet'!AW157</f>
        <v/>
      </c>
      <c r="H157" s="402">
        <f>'Balance sheet'!AX157</f>
        <v/>
      </c>
      <c r="I157" s="402">
        <f>'Balance sheet'!AY157</f>
        <v/>
      </c>
      <c r="J157" s="407">
        <f>'Balance sheet'!AZ157</f>
        <v/>
      </c>
      <c r="K157" s="402" t="n">
        <v>0</v>
      </c>
      <c r="L157" s="402" t="n">
        <v>0</v>
      </c>
      <c r="M157" s="402">
        <f>I157</f>
        <v/>
      </c>
      <c r="N157" s="407" t="n">
        <v>0</v>
      </c>
      <c r="O157" s="402" t="n">
        <v>0</v>
      </c>
      <c r="P157" s="402" t="n">
        <v>0</v>
      </c>
      <c r="Q157" s="402">
        <f>J157</f>
        <v/>
      </c>
      <c r="R157" s="402" t="n">
        <v>0</v>
      </c>
      <c r="T157" s="593">
        <f>I157-SUM(K157:N157)</f>
        <v/>
      </c>
      <c r="U157" s="593">
        <f>J157-SUM(O157:R157)</f>
        <v/>
      </c>
    </row>
    <row r="158" outlineLevel="1" collapsed="1" ht="12" customHeight="1">
      <c r="B158" s="62" t="n"/>
      <c r="C158" s="396" t="inlineStr">
        <is>
          <t xml:space="preserve">Finance lease obligation - leased equipment </t>
        </is>
      </c>
      <c r="F158" s="2">
        <f>SUM(F157:F157)</f>
        <v/>
      </c>
      <c r="G158" s="2">
        <f>SUM(G157:G157)</f>
        <v/>
      </c>
      <c r="H158" s="2">
        <f>SUM(H157:H157)</f>
        <v/>
      </c>
      <c r="I158" s="2">
        <f>SUM(I157:I157)</f>
        <v/>
      </c>
      <c r="J158" s="406">
        <f>SUM(J157:J157)</f>
        <v/>
      </c>
      <c r="K158" s="2">
        <f>SUM(K157:K157)</f>
        <v/>
      </c>
      <c r="L158" s="2">
        <f>SUM(L157:L157)</f>
        <v/>
      </c>
      <c r="M158" s="2">
        <f>SUM(M157:M157)</f>
        <v/>
      </c>
      <c r="N158" s="406">
        <f>SUM(N157:N157)</f>
        <v/>
      </c>
      <c r="O158" s="2">
        <f>SUM(O157:O157)</f>
        <v/>
      </c>
      <c r="P158" s="2">
        <f>SUM(P157:P157)</f>
        <v/>
      </c>
      <c r="Q158" s="2">
        <f>SUM(Q157:Q157)</f>
        <v/>
      </c>
      <c r="R158" s="2">
        <f>SUM(R157:R157)</f>
        <v/>
      </c>
      <c r="T158" s="593">
        <f>I158-SUM(K158:N158)</f>
        <v/>
      </c>
      <c r="U158" s="593">
        <f>J158-SUM(O158:R158)</f>
        <v/>
      </c>
    </row>
    <row r="159" hidden="1" outlineLevel="2" ht="12" customHeight="1">
      <c r="B159" s="62" t="n"/>
      <c r="C159" s="395" t="inlineStr">
        <is>
          <t>Return of cap - co-op payable</t>
        </is>
      </c>
      <c r="D159" s="6" t="n">
        <v>249051</v>
      </c>
      <c r="E159" s="6" t="inlineStr">
        <is>
          <t>249051 - Return of Cap - Co-op Payable</t>
        </is>
      </c>
      <c r="F159" s="2">
        <f>'Balance sheet'!AV159</f>
        <v/>
      </c>
      <c r="G159" s="2">
        <f>'Balance sheet'!AW159</f>
        <v/>
      </c>
      <c r="H159" s="2">
        <f>'Balance sheet'!AX159</f>
        <v/>
      </c>
      <c r="I159" s="2">
        <f>'Balance sheet'!AY159</f>
        <v/>
      </c>
      <c r="J159" s="406">
        <f>'Balance sheet'!AZ159</f>
        <v/>
      </c>
      <c r="K159" s="2" t="n">
        <v>0</v>
      </c>
      <c r="L159" s="2" t="n">
        <v>0</v>
      </c>
      <c r="M159" s="2">
        <f>I159</f>
        <v/>
      </c>
      <c r="N159" s="406" t="n">
        <v>0</v>
      </c>
      <c r="O159" s="2" t="n">
        <v>0</v>
      </c>
      <c r="P159" s="2" t="n">
        <v>0</v>
      </c>
      <c r="Q159" s="2">
        <f>J159</f>
        <v/>
      </c>
      <c r="R159" s="2" t="n">
        <v>0</v>
      </c>
      <c r="T159" s="593">
        <f>I159-SUM(K159:N159)</f>
        <v/>
      </c>
      <c r="U159" s="593">
        <f>J159-SUM(O159:R159)</f>
        <v/>
      </c>
    </row>
    <row r="160" hidden="1" outlineLevel="2" ht="12" customHeight="1">
      <c r="B160" s="62" t="n"/>
      <c r="C160" s="336" t="inlineStr">
        <is>
          <t>Return of cap payable - celero</t>
        </is>
      </c>
      <c r="D160" s="393" t="n">
        <v>249049</v>
      </c>
      <c r="E160" s="393" t="inlineStr">
        <is>
          <t>249049 - Return of Cap Payable - Celero</t>
        </is>
      </c>
      <c r="F160" s="402">
        <f>'Balance sheet'!AV160</f>
        <v/>
      </c>
      <c r="G160" s="402">
        <f>'Balance sheet'!AW160</f>
        <v/>
      </c>
      <c r="H160" s="402">
        <f>'Balance sheet'!AX160</f>
        <v/>
      </c>
      <c r="I160" s="402">
        <f>'Balance sheet'!AY160</f>
        <v/>
      </c>
      <c r="J160" s="407">
        <f>'Balance sheet'!AZ160</f>
        <v/>
      </c>
      <c r="K160" s="402" t="n">
        <v>0</v>
      </c>
      <c r="L160" s="402" t="n">
        <v>0</v>
      </c>
      <c r="M160" s="402">
        <f>I160</f>
        <v/>
      </c>
      <c r="N160" s="407" t="n">
        <v>0</v>
      </c>
      <c r="O160" s="402" t="n">
        <v>0</v>
      </c>
      <c r="P160" s="402" t="n">
        <v>0</v>
      </c>
      <c r="Q160" s="402">
        <f>J160</f>
        <v/>
      </c>
      <c r="R160" s="402" t="n">
        <v>0</v>
      </c>
      <c r="T160" s="593">
        <f>I160-SUM(K160:N160)</f>
        <v/>
      </c>
      <c r="U160" s="593">
        <f>J160-SUM(O160:R160)</f>
        <v/>
      </c>
    </row>
    <row r="161" outlineLevel="1" collapsed="1" ht="12" customHeight="1">
      <c r="B161" s="62" t="n"/>
      <c r="C161" s="339" t="inlineStr">
        <is>
          <t xml:space="preserve">Shareholder return of capital payable </t>
        </is>
      </c>
      <c r="D161" s="393" t="n"/>
      <c r="E161" s="393" t="n"/>
      <c r="F161" s="402">
        <f>SUM(F159:F160)</f>
        <v/>
      </c>
      <c r="G161" s="402">
        <f>SUM(G159:G160)</f>
        <v/>
      </c>
      <c r="H161" s="402">
        <f>SUM(H159:H160)</f>
        <v/>
      </c>
      <c r="I161" s="402">
        <f>SUM(I159:I160)</f>
        <v/>
      </c>
      <c r="J161" s="407">
        <f>SUM(J159:J160)</f>
        <v/>
      </c>
      <c r="K161" s="402">
        <f>SUM(K159:K160)</f>
        <v/>
      </c>
      <c r="L161" s="402">
        <f>SUM(L159:L160)</f>
        <v/>
      </c>
      <c r="M161" s="402">
        <f>SUM(M159:M160)</f>
        <v/>
      </c>
      <c r="N161" s="407">
        <f>SUM(N159:N160)</f>
        <v/>
      </c>
      <c r="O161" s="402">
        <f>SUM(O159:O160)</f>
        <v/>
      </c>
      <c r="P161" s="402">
        <f>SUM(P159:P160)</f>
        <v/>
      </c>
      <c r="Q161" s="402">
        <f>SUM(Q159:Q160)</f>
        <v/>
      </c>
      <c r="R161" s="402">
        <f>SUM(R159:R160)</f>
        <v/>
      </c>
      <c r="T161" s="593">
        <f>I161-SUM(K161:N161)</f>
        <v/>
      </c>
      <c r="U161" s="593">
        <f>J161-SUM(O161:R161)</f>
        <v/>
      </c>
    </row>
    <row r="162" ht="12" customHeight="1">
      <c r="B162" s="62" t="n"/>
      <c r="C162" s="6" t="inlineStr">
        <is>
          <t xml:space="preserve">Current liabilities </t>
        </is>
      </c>
      <c r="F162" s="2">
        <f>SUM(F161,F158,F156,F154,F151,F131,F128,F126,F116)</f>
        <v/>
      </c>
      <c r="G162" s="2">
        <f>SUM(G161,G158,G156,G154,G151,G131,G128,G126,G116)</f>
        <v/>
      </c>
      <c r="H162" s="2">
        <f>SUM(H161,H158,H156,H154,H151,H131,H128,H126,H116)</f>
        <v/>
      </c>
      <c r="I162" s="2">
        <f>SUM(I161,I158,I156,I154,I151,I131,I128,I126,I116)</f>
        <v/>
      </c>
      <c r="J162" s="406">
        <f>SUM(J161,J158,J156,J154,J151,J131,J128,J126,J116)</f>
        <v/>
      </c>
      <c r="K162" s="2">
        <f>SUM(K161,K158,K156,K154,K151,K131,K128,K126,K116)</f>
        <v/>
      </c>
      <c r="L162" s="2">
        <f>SUM(L161,L158,L156,L154,L151,L131,L128,L126,L116)</f>
        <v/>
      </c>
      <c r="M162" s="2">
        <f>SUM(M161,M158,M156,M154,M151,M131,M128,M126,M116)</f>
        <v/>
      </c>
      <c r="N162" s="406">
        <f>SUM(N161,N158,N156,N154,N151,N131,N128,N126,N116)</f>
        <v/>
      </c>
      <c r="O162" s="2">
        <f>SUM(O161,O158,O156,O154,O151,O131,O128,O126,O116)</f>
        <v/>
      </c>
      <c r="P162" s="2">
        <f>SUM(P161,P158,P156,P154,P151,P131,P128,P126,P116)</f>
        <v/>
      </c>
      <c r="Q162" s="2">
        <f>SUM(Q161,Q158,Q156,Q154,Q151,Q131,Q128,Q126,Q116)</f>
        <v/>
      </c>
      <c r="R162" s="2">
        <f>SUM(R161,R158,R156,R154,R151,R131,R128,R126,R116)</f>
        <v/>
      </c>
      <c r="T162" s="593">
        <f>I162-SUM(K162:N162)</f>
        <v/>
      </c>
      <c r="U162" s="593">
        <f>J162-SUM(O162:R162)</f>
        <v/>
      </c>
    </row>
    <row r="163" hidden="1" outlineLevel="2" ht="12" customHeight="1">
      <c r="B163" s="62" t="n"/>
      <c r="C163" s="336" t="inlineStr">
        <is>
          <t>Contract liability long-term</t>
        </is>
      </c>
      <c r="D163" s="393" t="n">
        <v>281515</v>
      </c>
      <c r="E163" s="393" t="inlineStr">
        <is>
          <t>281515 - Contract Liability Long-Term</t>
        </is>
      </c>
      <c r="F163" s="402">
        <f>'Balance sheet'!AV163</f>
        <v/>
      </c>
      <c r="G163" s="402">
        <f>'Balance sheet'!AW163</f>
        <v/>
      </c>
      <c r="H163" s="402">
        <f>'Balance sheet'!AX163</f>
        <v/>
      </c>
      <c r="I163" s="402">
        <f>'Balance sheet'!AY163</f>
        <v/>
      </c>
      <c r="J163" s="407">
        <f>'Balance sheet'!AZ163</f>
        <v/>
      </c>
      <c r="K163" s="402">
        <f>I163</f>
        <v/>
      </c>
      <c r="L163" s="402" t="n">
        <v>0</v>
      </c>
      <c r="M163" s="402" t="n">
        <v>0</v>
      </c>
      <c r="N163" s="3213" t="n">
        <v>0</v>
      </c>
      <c r="O163" s="402">
        <f>J163</f>
        <v/>
      </c>
      <c r="P163" s="402" t="n">
        <v>0</v>
      </c>
      <c r="Q163" s="402" t="n">
        <v>0</v>
      </c>
      <c r="R163" s="2346" t="n">
        <v>0</v>
      </c>
      <c r="T163" s="593">
        <f>I163-SUM(K163:N163)</f>
        <v/>
      </c>
      <c r="U163" s="593">
        <f>J163-SUM(O163:R163)</f>
        <v/>
      </c>
    </row>
    <row r="164" outlineLevel="1" collapsed="1" ht="12" customHeight="1">
      <c r="B164" s="62" t="n"/>
      <c r="C164" s="396" t="inlineStr">
        <is>
          <t xml:space="preserve">Contract liabilities - non-current </t>
        </is>
      </c>
      <c r="F164" s="2">
        <f>SUM(F163:F163)</f>
        <v/>
      </c>
      <c r="G164" s="2">
        <f>SUM(G163:G163)</f>
        <v/>
      </c>
      <c r="H164" s="2">
        <f>SUM(H163:H163)</f>
        <v/>
      </c>
      <c r="I164" s="2">
        <f>SUM(I163:I163)</f>
        <v/>
      </c>
      <c r="J164" s="406">
        <f>SUM(J163:J163)</f>
        <v/>
      </c>
      <c r="K164" s="2">
        <f>SUM(K163:K163)</f>
        <v/>
      </c>
      <c r="L164" s="2">
        <f>SUM(L163:L163)</f>
        <v/>
      </c>
      <c r="M164" s="2">
        <f>SUM(M163:M163)</f>
        <v/>
      </c>
      <c r="N164" s="406">
        <f>SUM(N163:N163)</f>
        <v/>
      </c>
      <c r="O164" s="2">
        <f>SUM(O163:O163)</f>
        <v/>
      </c>
      <c r="P164" s="2">
        <f>SUM(P163:P163)</f>
        <v/>
      </c>
      <c r="Q164" s="2">
        <f>SUM(Q163:Q163)</f>
        <v/>
      </c>
      <c r="R164" s="2">
        <f>SUM(R163:R163)</f>
        <v/>
      </c>
      <c r="T164" s="593">
        <f>I164-SUM(K164:N164)</f>
        <v/>
      </c>
      <c r="U164" s="593">
        <f>J164-SUM(O164:R164)</f>
        <v/>
      </c>
    </row>
    <row r="165" outlineLevel="2" ht="12" customHeight="1">
      <c r="B165" s="62" t="n"/>
      <c r="C165" s="3592" t="inlineStr">
        <is>
          <t>Deferred compensation payable (LTIP)</t>
        </is>
      </c>
      <c r="F165" s="2" t="n">
        <v>-248.315</v>
      </c>
      <c r="G165" s="2" t="n">
        <v>-247.31349</v>
      </c>
      <c r="H165" s="2" t="n">
        <v>-507.4455</v>
      </c>
      <c r="I165" s="2" t="n">
        <v>-650.5855</v>
      </c>
      <c r="J165" s="406" t="n">
        <v>-723.5855</v>
      </c>
      <c r="K165" s="2">
        <f>I165</f>
        <v/>
      </c>
      <c r="L165" s="2" t="n">
        <v>0</v>
      </c>
      <c r="M165" s="2" t="n">
        <v>0</v>
      </c>
      <c r="N165" s="406" t="n">
        <v>0</v>
      </c>
      <c r="O165" s="2">
        <f>J165</f>
        <v/>
      </c>
      <c r="P165" s="2" t="n">
        <v>0</v>
      </c>
      <c r="Q165" s="2" t="n">
        <v>0</v>
      </c>
      <c r="R165" s="2" t="n">
        <v>0</v>
      </c>
      <c r="T165" s="593" t="n"/>
      <c r="U165" s="593" t="n"/>
    </row>
    <row r="166" outlineLevel="2" ht="12" customHeight="1">
      <c r="B166" s="62" t="n"/>
      <c r="C166" s="3591" t="inlineStr">
        <is>
          <t>Deferred compensation payable (SERP)</t>
        </is>
      </c>
      <c r="D166" s="393" t="n">
        <v>253101</v>
      </c>
      <c r="E166" s="393" t="inlineStr">
        <is>
          <t>253101 - Deferred Compensation Payable-</t>
        </is>
      </c>
      <c r="F166" s="402" t="n">
        <v>-79.96513000000002</v>
      </c>
      <c r="G166" s="402" t="n">
        <v>-96.11964000000002</v>
      </c>
      <c r="H166" s="402" t="n">
        <v>-114.62798</v>
      </c>
      <c r="I166" s="402" t="n">
        <v>-122.10398</v>
      </c>
      <c r="J166" s="407" t="n">
        <v>-125.84198</v>
      </c>
      <c r="K166" s="402" t="n">
        <v>0</v>
      </c>
      <c r="L166" s="402" t="n">
        <v>0</v>
      </c>
      <c r="M166" s="402">
        <f>I166</f>
        <v/>
      </c>
      <c r="N166" s="407" t="n">
        <v>0</v>
      </c>
      <c r="O166" s="402" t="n">
        <v>0</v>
      </c>
      <c r="P166" s="402" t="n">
        <v>0</v>
      </c>
      <c r="Q166" s="402">
        <f>J166</f>
        <v/>
      </c>
      <c r="R166" s="402" t="n">
        <v>0</v>
      </c>
      <c r="T166" s="593">
        <f>I166-SUM(K166:N166)</f>
        <v/>
      </c>
      <c r="U166" s="593">
        <f>J166-SUM(O166:R166)</f>
        <v/>
      </c>
    </row>
    <row r="167" outlineLevel="1" ht="12" customHeight="1">
      <c r="B167" s="62" t="n"/>
      <c r="C167" s="396" t="inlineStr">
        <is>
          <t xml:space="preserve">Deferred compensation </t>
        </is>
      </c>
      <c r="F167" s="2">
        <f>SUM(F165:F166)</f>
        <v/>
      </c>
      <c r="G167" s="2">
        <f>SUM(G165:G166)</f>
        <v/>
      </c>
      <c r="H167" s="2">
        <f>SUM(H165:H166)</f>
        <v/>
      </c>
      <c r="I167" s="2">
        <f>SUM(I165:I166)</f>
        <v/>
      </c>
      <c r="J167" s="406">
        <f>SUM(J165:J166)</f>
        <v/>
      </c>
      <c r="K167" s="2">
        <f>SUM(K165:K166)</f>
        <v/>
      </c>
      <c r="L167" s="2">
        <f>SUM(L165:L166)</f>
        <v/>
      </c>
      <c r="M167" s="2">
        <f>SUM(M165:M166)</f>
        <v/>
      </c>
      <c r="N167" s="406">
        <f>SUM(N165:N166)</f>
        <v/>
      </c>
      <c r="O167" s="2">
        <f>SUM(O165:O166)</f>
        <v/>
      </c>
      <c r="P167" s="2">
        <f>SUM(P165:P166)</f>
        <v/>
      </c>
      <c r="Q167" s="2">
        <f>SUM(Q165:Q166)</f>
        <v/>
      </c>
      <c r="R167" s="2">
        <f>SUM(R165:R166)</f>
        <v/>
      </c>
      <c r="T167" s="593">
        <f>I167-SUM(K167:N167)</f>
        <v/>
      </c>
      <c r="U167" s="593">
        <f>J167-SUM(O167:R167)</f>
        <v/>
      </c>
    </row>
    <row r="168" hidden="1" outlineLevel="2" ht="12" customHeight="1">
      <c r="B168" s="62" t="n"/>
      <c r="C168" s="395" t="inlineStr">
        <is>
          <t>Deferred tax liability</t>
        </is>
      </c>
      <c r="D168" s="6" t="n">
        <v>260101</v>
      </c>
      <c r="E168" s="6" t="inlineStr">
        <is>
          <t>260101 - Deferred Tax Liability</t>
        </is>
      </c>
      <c r="F168" s="2">
        <f>'Balance sheet'!AV167</f>
        <v/>
      </c>
      <c r="G168" s="2">
        <f>'Balance sheet'!AW167</f>
        <v/>
      </c>
      <c r="H168" s="2">
        <f>'Balance sheet'!AX167</f>
        <v/>
      </c>
      <c r="I168" s="2">
        <f>'Balance sheet'!AY167</f>
        <v/>
      </c>
      <c r="J168" s="406">
        <f>'Balance sheet'!AZ167</f>
        <v/>
      </c>
      <c r="K168" s="2" t="n">
        <v>0</v>
      </c>
      <c r="L168" s="2" t="n">
        <v>0</v>
      </c>
      <c r="M168" s="2" t="n">
        <v>0</v>
      </c>
      <c r="N168" s="406">
        <f>I168</f>
        <v/>
      </c>
      <c r="O168" s="2" t="n">
        <v>0</v>
      </c>
      <c r="P168" s="2" t="n">
        <v>0</v>
      </c>
      <c r="Q168" s="2" t="n">
        <v>0</v>
      </c>
      <c r="R168" s="2">
        <f>J168</f>
        <v/>
      </c>
      <c r="T168" s="593">
        <f>I168-SUM(K168:N168)</f>
        <v/>
      </c>
      <c r="U168" s="593">
        <f>J168-SUM(O168:R168)</f>
        <v/>
      </c>
    </row>
    <row r="169" hidden="1" outlineLevel="2" ht="12" customHeight="1">
      <c r="B169" s="62" t="n"/>
      <c r="C169" s="336" t="inlineStr">
        <is>
          <t>Deferred tax liability IFRS- IFRS adjusted</t>
        </is>
      </c>
      <c r="D169" s="393" t="n">
        <v>260115</v>
      </c>
      <c r="E169" s="393" t="inlineStr">
        <is>
          <t>260115 - Deferred Tax Liability IFRS- IFRS Adjusted</t>
        </is>
      </c>
      <c r="F169" s="402">
        <f>'Balance sheet'!AV168</f>
        <v/>
      </c>
      <c r="G169" s="402">
        <f>'Balance sheet'!AW168</f>
        <v/>
      </c>
      <c r="H169" s="402">
        <f>'Balance sheet'!AX168</f>
        <v/>
      </c>
      <c r="I169" s="402">
        <f>'Balance sheet'!AY168</f>
        <v/>
      </c>
      <c r="J169" s="407">
        <f>'Balance sheet'!AZ168</f>
        <v/>
      </c>
      <c r="K169" s="402" t="n">
        <v>0</v>
      </c>
      <c r="L169" s="402" t="n">
        <v>0</v>
      </c>
      <c r="M169" s="402" t="n">
        <v>0</v>
      </c>
      <c r="N169" s="407">
        <f>I169</f>
        <v/>
      </c>
      <c r="O169" s="402" t="n">
        <v>0</v>
      </c>
      <c r="P169" s="402" t="n">
        <v>0</v>
      </c>
      <c r="Q169" s="402" t="n">
        <v>0</v>
      </c>
      <c r="R169" s="402">
        <f>J169</f>
        <v/>
      </c>
      <c r="T169" s="593">
        <f>I169-SUM(K169:N169)</f>
        <v/>
      </c>
      <c r="U169" s="593">
        <f>J169-SUM(O169:R169)</f>
        <v/>
      </c>
      <c r="V169" s="1510" t="n"/>
    </row>
    <row r="170" outlineLevel="1" collapsed="1" ht="12" customHeight="1">
      <c r="B170" s="62" t="n"/>
      <c r="C170" s="396" t="inlineStr">
        <is>
          <t xml:space="preserve">Deferred tax liabilities </t>
        </is>
      </c>
      <c r="F170" s="2">
        <f>SUM(F168:F169)</f>
        <v/>
      </c>
      <c r="G170" s="2">
        <f>SUM(G168:G169)</f>
        <v/>
      </c>
      <c r="H170" s="2">
        <f>SUM(H168:H169)</f>
        <v/>
      </c>
      <c r="I170" s="2">
        <f>SUM(I168:I169)</f>
        <v/>
      </c>
      <c r="J170" s="406">
        <f>SUM(J168:J169)</f>
        <v/>
      </c>
      <c r="K170" s="2">
        <f>SUM(K168:K169)</f>
        <v/>
      </c>
      <c r="L170" s="2">
        <f>SUM(L168:L169)</f>
        <v/>
      </c>
      <c r="M170" s="2">
        <f>SUM(M168:M169)</f>
        <v/>
      </c>
      <c r="N170" s="406">
        <f>SUM(N168:N169)</f>
        <v/>
      </c>
      <c r="O170" s="2">
        <f>SUM(O168:O169)</f>
        <v/>
      </c>
      <c r="P170" s="2">
        <f>SUM(P168:P169)</f>
        <v/>
      </c>
      <c r="Q170" s="2">
        <f>SUM(Q168:Q169)</f>
        <v/>
      </c>
      <c r="R170" s="2">
        <f>SUM(R168:R169)</f>
        <v/>
      </c>
      <c r="T170" s="593">
        <f>I170-SUM(K170:N170)</f>
        <v/>
      </c>
      <c r="U170" s="593">
        <f>J170-SUM(O170:R170)</f>
        <v/>
      </c>
    </row>
    <row r="171" hidden="1" outlineLevel="2" ht="12" customHeight="1">
      <c r="B171" s="62" t="n"/>
      <c r="C171" s="336" t="inlineStr">
        <is>
          <t>Long term - finance lease obligations</t>
        </is>
      </c>
      <c r="D171" s="393" t="n">
        <v>270201</v>
      </c>
      <c r="E171" s="393" t="inlineStr">
        <is>
          <t>270201 - Long Term - Finance Lease Obligations</t>
        </is>
      </c>
      <c r="F171" s="402">
        <f>'Balance sheet'!AV170</f>
        <v/>
      </c>
      <c r="G171" s="402">
        <f>'Balance sheet'!AW170</f>
        <v/>
      </c>
      <c r="H171" s="402">
        <f>'Balance sheet'!AX170</f>
        <v/>
      </c>
      <c r="I171" s="402">
        <f>'Balance sheet'!AY170</f>
        <v/>
      </c>
      <c r="J171" s="407">
        <f>'Balance sheet'!AZ170</f>
        <v/>
      </c>
      <c r="K171" s="402" t="n">
        <v>0</v>
      </c>
      <c r="L171" s="402" t="n">
        <v>0</v>
      </c>
      <c r="M171" s="402">
        <f>I171</f>
        <v/>
      </c>
      <c r="N171" s="407" t="n">
        <v>0</v>
      </c>
      <c r="O171" s="402" t="n">
        <v>0</v>
      </c>
      <c r="P171" s="402" t="n">
        <v>0</v>
      </c>
      <c r="Q171" s="402">
        <f>J171</f>
        <v/>
      </c>
      <c r="R171" s="402" t="n">
        <v>0</v>
      </c>
      <c r="T171" s="593">
        <f>I171-SUM(K171:N171)</f>
        <v/>
      </c>
      <c r="U171" s="593">
        <f>J171-SUM(O171:R171)</f>
        <v/>
      </c>
      <c r="V171" s="1510" t="n"/>
    </row>
    <row r="172" outlineLevel="1" collapsed="1" ht="12" customHeight="1">
      <c r="B172" s="62" t="n"/>
      <c r="C172" s="396" t="inlineStr">
        <is>
          <t xml:space="preserve">Long-term finance lease - leased equipment </t>
        </is>
      </c>
      <c r="F172" s="2">
        <f>SUM(F171:F171)</f>
        <v/>
      </c>
      <c r="G172" s="2">
        <f>SUM(G171:G171)</f>
        <v/>
      </c>
      <c r="H172" s="2">
        <f>SUM(H171:H171)</f>
        <v/>
      </c>
      <c r="I172" s="2">
        <f>SUM(I171:I171)</f>
        <v/>
      </c>
      <c r="J172" s="406">
        <f>SUM(J171:J171)</f>
        <v/>
      </c>
      <c r="K172" s="2">
        <f>SUM(K171:K171)</f>
        <v/>
      </c>
      <c r="L172" s="2">
        <f>SUM(L171:L171)</f>
        <v/>
      </c>
      <c r="M172" s="2">
        <f>SUM(M171:M171)</f>
        <v/>
      </c>
      <c r="N172" s="406">
        <f>SUM(N171:N171)</f>
        <v/>
      </c>
      <c r="O172" s="2">
        <f>SUM(O171:O171)</f>
        <v/>
      </c>
      <c r="P172" s="2">
        <f>SUM(P171:P171)</f>
        <v/>
      </c>
      <c r="Q172" s="2">
        <f>SUM(Q171:Q171)</f>
        <v/>
      </c>
      <c r="R172" s="2">
        <f>SUM(R171:R171)</f>
        <v/>
      </c>
      <c r="T172" s="593">
        <f>I172-SUM(K172:N172)</f>
        <v/>
      </c>
      <c r="U172" s="593">
        <f>J172-SUM(O172:R172)</f>
        <v/>
      </c>
    </row>
    <row r="173" hidden="1" outlineLevel="2" ht="12" customHeight="1">
      <c r="B173" s="62" t="n"/>
      <c r="C173" s="336" t="inlineStr">
        <is>
          <t>Long term - property lease-everlink</t>
        </is>
      </c>
      <c r="D173" s="393" t="n">
        <v>270216</v>
      </c>
      <c r="E173" s="393" t="inlineStr">
        <is>
          <t>270216 - Long Term - Property Lease-Everlink</t>
        </is>
      </c>
      <c r="F173" s="402">
        <f>'Balance sheet'!AV172</f>
        <v/>
      </c>
      <c r="G173" s="402">
        <f>'Balance sheet'!AW172</f>
        <v/>
      </c>
      <c r="H173" s="402">
        <f>'Balance sheet'!AX172</f>
        <v/>
      </c>
      <c r="I173" s="402">
        <f>'Balance sheet'!AY172</f>
        <v/>
      </c>
      <c r="J173" s="407">
        <f>'Balance sheet'!AZ172</f>
        <v/>
      </c>
      <c r="K173" s="402" t="n">
        <v>0</v>
      </c>
      <c r="L173" s="402" t="n">
        <v>0</v>
      </c>
      <c r="M173" s="402">
        <f>I173</f>
        <v/>
      </c>
      <c r="N173" s="407" t="n">
        <v>0</v>
      </c>
      <c r="O173" s="402" t="n">
        <v>0</v>
      </c>
      <c r="P173" s="402" t="n">
        <v>0</v>
      </c>
      <c r="Q173" s="402">
        <f>J173</f>
        <v/>
      </c>
      <c r="R173" s="402" t="n">
        <v>0</v>
      </c>
      <c r="T173" s="593">
        <f>I173-SUM(K173:N173)</f>
        <v/>
      </c>
      <c r="U173" s="593">
        <f>J173-SUM(O173:R173)</f>
        <v/>
      </c>
      <c r="V173" s="1510" t="n"/>
    </row>
    <row r="174" outlineLevel="1" collapsed="1" ht="12" customHeight="1">
      <c r="B174" s="62" t="n"/>
      <c r="C174" s="339" t="inlineStr">
        <is>
          <t xml:space="preserve">Long term - property lease </t>
        </is>
      </c>
      <c r="D174" s="393" t="n"/>
      <c r="E174" s="393" t="n"/>
      <c r="F174" s="402">
        <f>SUM(F173:F173)</f>
        <v/>
      </c>
      <c r="G174" s="402">
        <f>SUM(G173:G173)</f>
        <v/>
      </c>
      <c r="H174" s="402">
        <f>SUM(H173:H173)</f>
        <v/>
      </c>
      <c r="I174" s="402">
        <f>SUM(I173:I173)</f>
        <v/>
      </c>
      <c r="J174" s="407">
        <f>SUM(J173:J173)</f>
        <v/>
      </c>
      <c r="K174" s="402">
        <f>SUM(K173:K173)</f>
        <v/>
      </c>
      <c r="L174" s="402">
        <f>SUM(L173:L173)</f>
        <v/>
      </c>
      <c r="M174" s="402">
        <f>SUM(M173:M173)</f>
        <v/>
      </c>
      <c r="N174" s="407">
        <f>SUM(N173:N173)</f>
        <v/>
      </c>
      <c r="O174" s="402">
        <f>SUM(O173:O173)</f>
        <v/>
      </c>
      <c r="P174" s="402">
        <f>SUM(P173:P173)</f>
        <v/>
      </c>
      <c r="Q174" s="402">
        <f>SUM(Q173:Q173)</f>
        <v/>
      </c>
      <c r="R174" s="402">
        <f>SUM(R173:R173)</f>
        <v/>
      </c>
      <c r="T174" s="593">
        <f>I174-SUM(K174:N174)</f>
        <v/>
      </c>
      <c r="U174" s="593">
        <f>J174-SUM(O174:R174)</f>
        <v/>
      </c>
    </row>
    <row r="175" ht="12" customHeight="1">
      <c r="B175" s="62" t="n"/>
      <c r="C175" s="393" t="inlineStr">
        <is>
          <t xml:space="preserve">Non-current liabilities </t>
        </is>
      </c>
      <c r="D175" s="393" t="n"/>
      <c r="E175" s="393" t="n"/>
      <c r="F175" s="402">
        <f>SUM(F174,F172,F164,F167,F170)</f>
        <v/>
      </c>
      <c r="G175" s="402">
        <f>SUM(G174,G172,G164,G167,G170)</f>
        <v/>
      </c>
      <c r="H175" s="402">
        <f>SUM(H174,H172,H164,H167,H170)</f>
        <v/>
      </c>
      <c r="I175" s="402">
        <f>SUM(I174,I172,I164,I167,I170)</f>
        <v/>
      </c>
      <c r="J175" s="407">
        <f>SUM(J174,J172,J164,J167,J170)</f>
        <v/>
      </c>
      <c r="K175" s="402">
        <f>SUM(K174,K172,K164,K167,K170)</f>
        <v/>
      </c>
      <c r="L175" s="402">
        <f>SUM(L174,L172,L164,L167,L170)</f>
        <v/>
      </c>
      <c r="M175" s="402">
        <f>SUM(M174,M172,M164,M167,M170)</f>
        <v/>
      </c>
      <c r="N175" s="407">
        <f>SUM(N174,N172,N164,N167,N170)</f>
        <v/>
      </c>
      <c r="O175" s="402">
        <f>SUM(O174,O172,O164,O167,O170)</f>
        <v/>
      </c>
      <c r="P175" s="402">
        <f>SUM(P174,P172,P164,P167,P170)</f>
        <v/>
      </c>
      <c r="Q175" s="402">
        <f>SUM(Q174,Q172,Q164,Q167,Q170)</f>
        <v/>
      </c>
      <c r="R175" s="402">
        <f>SUM(R174,R172,R164,R167,R170)</f>
        <v/>
      </c>
      <c r="T175" s="593">
        <f>I175-SUM(K175:N175)</f>
        <v/>
      </c>
      <c r="U175" s="593">
        <f>J175-SUM(O175:R175)</f>
        <v/>
      </c>
    </row>
    <row r="176" ht="12" customHeight="1">
      <c r="B176" s="62" t="n"/>
      <c r="C176" s="393" t="inlineStr">
        <is>
          <t xml:space="preserve">Liabilities </t>
        </is>
      </c>
      <c r="D176" s="393" t="n"/>
      <c r="E176" s="393" t="n"/>
      <c r="F176" s="402">
        <f>SUM(F175,F162)</f>
        <v/>
      </c>
      <c r="G176" s="402">
        <f>SUM(G175,G162)</f>
        <v/>
      </c>
      <c r="H176" s="402">
        <f>SUM(H175,H162)</f>
        <v/>
      </c>
      <c r="I176" s="402">
        <f>SUM(I175,I162)</f>
        <v/>
      </c>
      <c r="J176" s="407">
        <f>SUM(J175,J162)</f>
        <v/>
      </c>
      <c r="K176" s="402">
        <f>SUM(K175,K162)</f>
        <v/>
      </c>
      <c r="L176" s="402">
        <f>SUM(L175,L162)</f>
        <v/>
      </c>
      <c r="M176" s="402">
        <f>SUM(M175,M162)</f>
        <v/>
      </c>
      <c r="N176" s="407">
        <f>SUM(N175,N162)</f>
        <v/>
      </c>
      <c r="O176" s="402">
        <f>SUM(O175,O162)</f>
        <v/>
      </c>
      <c r="P176" s="402">
        <f>SUM(P175,P162)</f>
        <v/>
      </c>
      <c r="Q176" s="402">
        <f>SUM(Q175,Q162)</f>
        <v/>
      </c>
      <c r="R176" s="402">
        <f>SUM(R175,R162)</f>
        <v/>
      </c>
      <c r="T176" s="593">
        <f>I176-SUM(K176:N176)</f>
        <v/>
      </c>
      <c r="U176" s="593">
        <f>J176-SUM(O176:R176)</f>
        <v/>
      </c>
    </row>
    <row r="177" ht="12" customHeight="1" thickBot="1">
      <c r="B177" s="62" t="n"/>
      <c r="C177" s="478" t="inlineStr">
        <is>
          <t>Net assets</t>
        </is>
      </c>
      <c r="D177" s="479" t="n"/>
      <c r="E177" s="479" t="n"/>
      <c r="F177" s="480">
        <f>SUM(F176,F95)</f>
        <v/>
      </c>
      <c r="G177" s="480">
        <f>SUM(G176,G95)</f>
        <v/>
      </c>
      <c r="H177" s="480">
        <f>SUM(H176,H95)</f>
        <v/>
      </c>
      <c r="I177" s="480">
        <f>SUM(I176,I95)</f>
        <v/>
      </c>
      <c r="J177" s="482">
        <f>SUM(J176,J95)</f>
        <v/>
      </c>
      <c r="K177" s="480">
        <f>SUM(K176,K95)</f>
        <v/>
      </c>
      <c r="L177" s="480">
        <f>SUM(L176,L95)</f>
        <v/>
      </c>
      <c r="M177" s="480">
        <f>SUM(M176,M95)</f>
        <v/>
      </c>
      <c r="N177" s="482">
        <f>SUM(N176,N95)</f>
        <v/>
      </c>
      <c r="O177" s="480">
        <f>SUM(O176,O95)</f>
        <v/>
      </c>
      <c r="P177" s="480">
        <f>SUM(P176,P95)</f>
        <v/>
      </c>
      <c r="Q177" s="480">
        <f>SUM(Q176,Q95)</f>
        <v/>
      </c>
      <c r="R177" s="480">
        <f>SUM(R176,R95)</f>
        <v/>
      </c>
      <c r="T177" s="593">
        <f>I177-SUM(K177:N177)</f>
        <v/>
      </c>
      <c r="U177" s="593">
        <f>J177-SUM(O177:R177)</f>
        <v/>
      </c>
    </row>
    <row r="178" ht="3.5" customFormat="1" customHeight="1" s="3618">
      <c r="A178" s="320" t="n"/>
      <c r="B178" s="722" t="n"/>
      <c r="D178" s="3619" t="n"/>
      <c r="E178" s="3619" t="n"/>
      <c r="F178" s="3620" t="n"/>
      <c r="G178" s="3620" t="n"/>
      <c r="H178" s="3620" t="n"/>
      <c r="I178" s="3620" t="n"/>
      <c r="J178" s="3620" t="n"/>
      <c r="K178" s="3620" t="n"/>
      <c r="L178" s="3620" t="n"/>
      <c r="M178" s="3620" t="n"/>
      <c r="N178" s="3620" t="n"/>
      <c r="O178" s="3620" t="n"/>
      <c r="P178" s="3620" t="n"/>
      <c r="Q178" s="3620" t="n"/>
      <c r="R178" s="3620" t="n"/>
      <c r="T178" s="3612" t="n"/>
      <c r="U178" s="3612" t="n"/>
    </row>
    <row r="179" hidden="1" outlineLevel="1" ht="12" customHeight="1">
      <c r="B179" s="62" t="n"/>
      <c r="C179" s="3" t="inlineStr">
        <is>
          <t>Balance sheet - net assets</t>
        </is>
      </c>
      <c r="D179" s="3691" t="n"/>
      <c r="E179" s="3691" t="n"/>
      <c r="F179" s="4">
        <f>'Balance sheet'!AV184</f>
        <v/>
      </c>
      <c r="G179" s="4">
        <f>'Balance sheet'!AW184</f>
        <v/>
      </c>
      <c r="H179" s="4">
        <f>'Balance sheet'!AX184</f>
        <v/>
      </c>
      <c r="I179" s="4">
        <f>'Balance sheet'!AY184</f>
        <v/>
      </c>
      <c r="J179" s="4">
        <f>'Balance sheet'!AZ184</f>
        <v/>
      </c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 hidden="1" outlineLevel="1" ht="12" customHeight="1">
      <c r="B180" s="62" t="n"/>
      <c r="C180" s="3" t="inlineStr">
        <is>
          <t>Check</t>
        </is>
      </c>
      <c r="D180" s="3691" t="n"/>
      <c r="E180" s="3691" t="n"/>
      <c r="F180" s="4">
        <f>F179+F177</f>
        <v/>
      </c>
      <c r="G180" s="4">
        <f>G179+G177</f>
        <v/>
      </c>
      <c r="H180" s="4">
        <f>H179+H177</f>
        <v/>
      </c>
      <c r="I180" s="4">
        <f>I179+I177</f>
        <v/>
      </c>
      <c r="J180" s="4">
        <f>J179+J177</f>
        <v/>
      </c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 collapsed="1" ht="12" customHeight="1">
      <c r="B181" s="62" t="n"/>
      <c r="C181" s="3617" t="inlineStr">
        <is>
          <t>Reconciliation</t>
        </is>
      </c>
      <c r="D181" s="3691" t="n"/>
      <c r="E181" s="3691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 ht="12" customHeight="1">
      <c r="B182" s="62" t="n"/>
      <c r="C182" s="3615" t="inlineStr">
        <is>
          <t>Net working capital, reported</t>
        </is>
      </c>
      <c r="D182" s="7" t="n"/>
      <c r="E182" s="7" t="n"/>
      <c r="F182" s="4" t="n"/>
      <c r="G182" s="4" t="n"/>
      <c r="H182" s="4" t="n"/>
      <c r="I182" s="4" t="n"/>
      <c r="J182" s="4" t="n"/>
      <c r="K182" s="4">
        <f>'NWC | Detail'!AY102</f>
        <v/>
      </c>
      <c r="L182" s="4" t="n"/>
      <c r="N182" s="4" t="n"/>
      <c r="O182" s="4">
        <f>'NWC | Detail'!AZ102</f>
        <v/>
      </c>
      <c r="P182" s="4" t="n"/>
      <c r="R182" s="4" t="n"/>
    </row>
    <row r="183" ht="12" customHeight="1">
      <c r="B183" s="62" t="n"/>
      <c r="C183" s="3616" t="inlineStr">
        <is>
          <t>Add: NWC Adj. #2 LTIP reclassification</t>
        </is>
      </c>
      <c r="D183" s="3594" t="n"/>
      <c r="E183" s="3594" t="n"/>
      <c r="F183" s="3595" t="n"/>
      <c r="G183" s="3595" t="n"/>
      <c r="H183" s="3595" t="n"/>
      <c r="I183" s="3595" t="n"/>
      <c r="J183" s="3595" t="n"/>
      <c r="K183" s="3595">
        <f>'NWC DD adjustments'!AX33</f>
        <v/>
      </c>
      <c r="L183" s="3595" t="n"/>
      <c r="M183" s="3595" t="n"/>
      <c r="N183" s="3595" t="n"/>
      <c r="O183" s="3595">
        <f>'NWC DD adjustments'!AY33</f>
        <v/>
      </c>
      <c r="P183" s="3595" t="n"/>
      <c r="Q183" s="3595" t="n"/>
      <c r="R183" s="3595" t="n"/>
    </row>
    <row r="184" ht="12" customHeight="1">
      <c r="B184" s="62" t="n"/>
      <c r="C184" s="3613" t="inlineStr">
        <is>
          <t>Total</t>
        </is>
      </c>
      <c r="D184" s="3613" t="n"/>
      <c r="E184" s="3613" t="n"/>
      <c r="F184" s="3614" t="n"/>
      <c r="G184" s="3614" t="n"/>
      <c r="H184" s="3614" t="n"/>
      <c r="I184" s="3614" t="n"/>
      <c r="J184" s="3614" t="n"/>
      <c r="K184" s="3614">
        <f>SUM(K182:K183)</f>
        <v/>
      </c>
      <c r="L184" s="3614" t="n"/>
      <c r="M184" s="3614" t="n"/>
      <c r="N184" s="3614" t="n"/>
      <c r="O184" s="3614">
        <f>SUM(O182:O183)</f>
        <v/>
      </c>
      <c r="P184" s="3614" t="n"/>
      <c r="Q184" s="3614" t="n"/>
      <c r="R184" s="3614" t="n"/>
    </row>
    <row r="185" ht="12" customHeight="1">
      <c r="B185" s="62" t="n"/>
      <c r="C185" s="3612" t="inlineStr">
        <is>
          <t>Check</t>
        </is>
      </c>
      <c r="D185" s="3613" t="n"/>
      <c r="E185" s="3613" t="n"/>
      <c r="F185" s="3614" t="n"/>
      <c r="G185" s="3614" t="n"/>
      <c r="H185" s="3614" t="n"/>
      <c r="I185" s="3614" t="n"/>
      <c r="J185" s="3614" t="n"/>
      <c r="K185" s="4">
        <f>K184-K177</f>
        <v/>
      </c>
      <c r="L185" s="3614" t="n"/>
      <c r="M185" s="3614" t="n"/>
      <c r="N185" s="3614" t="n"/>
      <c r="O185" s="4">
        <f>O184-O177</f>
        <v/>
      </c>
      <c r="P185" s="3614" t="n"/>
      <c r="Q185" s="3614" t="n"/>
      <c r="R185" s="3614" t="n"/>
    </row>
    <row r="186" hidden="1" outlineLevel="1" ht="12" customHeight="1">
      <c r="B186" s="62" t="n"/>
      <c r="C186" s="7" t="inlineStr">
        <is>
          <t>Net cash, reported</t>
        </is>
      </c>
      <c r="D186" s="3613" t="n"/>
      <c r="E186" s="3613" t="n"/>
      <c r="F186" s="3614" t="n"/>
      <c r="G186" s="3614" t="n"/>
      <c r="H186" s="3614" t="n"/>
      <c r="I186" s="3614" t="n"/>
      <c r="J186" s="3614" t="n"/>
      <c r="K186" s="3614" t="n"/>
      <c r="L186" s="3614" t="n"/>
      <c r="M186" s="4">
        <f>'Net debt'!H34</f>
        <v/>
      </c>
      <c r="N186" s="3614" t="n"/>
      <c r="O186" s="3614" t="n"/>
      <c r="P186" s="3614" t="n"/>
      <c r="Q186" s="4">
        <f>'Net debt'!I24</f>
        <v/>
      </c>
      <c r="R186" s="3614" t="n"/>
    </row>
    <row r="187" hidden="1" outlineLevel="1" ht="12" customHeight="1">
      <c r="B187" s="62" t="n"/>
      <c r="C187" s="3" t="inlineStr">
        <is>
          <t>Check</t>
        </is>
      </c>
      <c r="D187" s="7" t="n"/>
      <c r="E187" s="7" t="n"/>
      <c r="F187" s="4" t="n"/>
      <c r="G187" s="4" t="n"/>
      <c r="H187" s="4" t="n"/>
      <c r="I187" s="4" t="n"/>
      <c r="J187" s="4" t="n"/>
      <c r="K187" s="4" t="n"/>
      <c r="L187" s="4" t="n"/>
      <c r="M187" s="4">
        <f>#REF!-M177</f>
        <v/>
      </c>
      <c r="N187" s="4" t="n"/>
      <c r="O187" s="4" t="n"/>
      <c r="P187" s="4" t="n"/>
      <c r="Q187" s="4">
        <f>Q186-Q177</f>
        <v/>
      </c>
      <c r="R187" s="4" t="n"/>
    </row>
    <row r="188" collapsed="1" ht="12" customHeight="1">
      <c r="B188" s="62" t="n"/>
    </row>
    <row r="189" ht="12" customHeight="1">
      <c r="B189" s="62" t="n"/>
    </row>
    <row r="190" ht="12" customHeight="1">
      <c r="B190" s="62" t="n"/>
    </row>
    <row r="191" ht="12" customHeight="1">
      <c r="B191" s="62" t="n"/>
    </row>
    <row r="192" ht="12" customHeight="1">
      <c r="B192" s="62" t="n"/>
    </row>
    <row r="193" ht="12" customHeight="1">
      <c r="B193" s="62" t="n"/>
    </row>
    <row r="194" ht="12" customHeight="1">
      <c r="B194" s="62" t="n"/>
    </row>
    <row r="195" ht="12" customHeight="1">
      <c r="B195" s="62" t="n"/>
    </row>
    <row r="196" ht="12" customHeight="1">
      <c r="B196" s="62" t="n"/>
    </row>
    <row r="197" ht="12" customHeight="1">
      <c r="B197" s="62" t="n"/>
    </row>
    <row r="198" ht="12" customHeight="1">
      <c r="B198" s="62" t="n"/>
    </row>
    <row r="199" ht="12" customHeight="1">
      <c r="B199" s="62" t="n"/>
    </row>
    <row r="200" ht="12" customHeight="1">
      <c r="B200" s="62" t="n"/>
    </row>
    <row r="201" ht="12" customHeight="1">
      <c r="B201" s="62" t="n"/>
    </row>
    <row r="202" ht="12" customHeight="1">
      <c r="B202" s="62" t="n"/>
    </row>
    <row r="203" ht="12" customHeight="1">
      <c r="B203" s="62" t="n"/>
    </row>
    <row r="204" ht="12" customHeight="1">
      <c r="B204" s="62" t="n"/>
    </row>
    <row r="205" ht="12" customHeight="1">
      <c r="B205" s="62" t="n"/>
    </row>
    <row r="206" ht="12" customHeight="1">
      <c r="B206" s="62" t="n"/>
    </row>
    <row r="207" ht="12" customHeight="1">
      <c r="B207" s="6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2026-02-19T20:53:35Z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