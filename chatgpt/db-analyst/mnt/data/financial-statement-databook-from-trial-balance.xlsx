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| Setup" sheetId="1" state="visible" r:id="rId1"/>
    <sheet name="Data | TB" sheetId="2" state="visible" r:id="rId2"/>
    <sheet name="Map | COA to Lines" sheetId="3" state="visible" r:id="rId3"/>
    <sheet name="Combined | IS" sheetId="4" state="visible" r:id="rId4"/>
    <sheet name="Combined | B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0" pivotButton="0" quotePrefix="0" xfId="0"/>
    <xf numFmtId="0" fontId="2" fillId="2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2" borderId="1" pivotButton="0" quotePrefix="0" xfId="0"/>
    <xf numFmtId="0" fontId="3" fillId="3" borderId="1" pivotButton="0" quotePrefix="0" xfId="0"/>
    <xf numFmtId="0" fontId="3" fillId="0" borderId="1" pivotButton="0" quotePrefix="0" xfId="0"/>
    <xf numFmtId="164" fontId="2" fillId="2" borderId="1" applyAlignment="1" pivotButton="0" quotePrefix="0" xfId="0">
      <alignment horizontal="right"/>
    </xf>
    <xf numFmtId="17" fontId="2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Source file</t>
        </is>
      </c>
      <c r="B2" s="2" t="inlineStr">
        <is>
          <t>data-room/trial_balance.xlsx</t>
        </is>
      </c>
      <c r="C2" s="2" t="inlineStr">
        <is>
          <t>Provided trial balance input</t>
        </is>
      </c>
    </row>
    <row r="3">
      <c r="A3" s="2" t="inlineStr">
        <is>
          <t>Module</t>
        </is>
      </c>
      <c r="B3" s="2" t="inlineStr">
        <is>
          <t>Process-TB</t>
        </is>
      </c>
      <c r="C3" s="2" t="inlineStr">
        <is>
          <t>Generated from TB only</t>
        </is>
      </c>
    </row>
    <row r="4">
      <c r="A4" s="2" t="inlineStr">
        <is>
          <t>Units</t>
        </is>
      </c>
      <c r="B4" s="2" t="inlineStr">
        <is>
          <t>$'000</t>
        </is>
      </c>
      <c r="C4" s="2" t="inlineStr">
        <is>
          <t>Default per skill contract</t>
        </is>
      </c>
    </row>
    <row r="5">
      <c r="A5" s="2" t="inlineStr">
        <is>
          <t>Scale factor</t>
        </is>
      </c>
      <c r="B5" s="3" t="n">
        <v>1000</v>
      </c>
      <c r="C5" s="2" t="inlineStr">
        <is>
          <t>Applied to all output statements</t>
        </is>
      </c>
    </row>
    <row r="6">
      <c r="A6" s="2" t="inlineStr">
        <is>
          <t>IS sign standard</t>
        </is>
      </c>
      <c r="B6" s="2" t="inlineStr">
        <is>
          <t>credits + / debits -</t>
        </is>
      </c>
      <c r="C6" s="2" t="inlineStr">
        <is>
          <t>Applied by inverting TB sign on IS accounts</t>
        </is>
      </c>
    </row>
    <row r="7">
      <c r="A7" s="2" t="inlineStr">
        <is>
          <t>BS sign standard</t>
        </is>
      </c>
      <c r="B7" s="2" t="inlineStr">
        <is>
          <t>credits - / debits +</t>
        </is>
      </c>
      <c r="C7" s="2" t="inlineStr">
        <is>
          <t>TB signs retained on BS accounts</t>
        </is>
      </c>
    </row>
    <row r="8">
      <c r="A8" s="2" t="inlineStr">
        <is>
          <t>Periods</t>
        </is>
      </c>
      <c r="B8" s="3" t="n">
        <v>36</v>
      </c>
      <c r="C8" s="2" t="inlineStr">
        <is>
          <t>Monthly periods in source TB</t>
        </is>
      </c>
    </row>
    <row r="9">
      <c r="A9" s="2" t="inlineStr">
        <is>
          <t>First period</t>
        </is>
      </c>
      <c r="B9" s="2" t="inlineStr">
        <is>
          <t>2023-01</t>
        </is>
      </c>
      <c r="C9" s="2" t="inlineStr"/>
    </row>
    <row r="10">
      <c r="A10" s="2" t="inlineStr">
        <is>
          <t>Last period</t>
        </is>
      </c>
      <c r="B10" s="2" t="inlineStr">
        <is>
          <t>2025-12</t>
        </is>
      </c>
      <c r="C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4" t="inlineStr">
        <is>
          <t>Data | TB (Canonical TB Accounts)</t>
        </is>
      </c>
    </row>
    <row r="3">
      <c r="A3" s="1" t="inlineStr">
        <is>
          <t>Account Code</t>
        </is>
      </c>
      <c r="B3" s="1" t="inlineStr">
        <is>
          <t>Account Name</t>
        </is>
      </c>
      <c r="C3" s="1" t="inlineStr">
        <is>
          <t>Statement</t>
        </is>
      </c>
      <c r="D3" s="1" t="inlineStr">
        <is>
          <t>Section</t>
        </is>
      </c>
      <c r="E3" s="1" t="inlineStr">
        <is>
          <t>Subsection</t>
        </is>
      </c>
      <c r="F3" s="5" t="inlineStr">
        <is>
          <t>2023-01</t>
        </is>
      </c>
      <c r="G3" s="5" t="inlineStr">
        <is>
          <t>2023-02</t>
        </is>
      </c>
      <c r="H3" s="5" t="inlineStr">
        <is>
          <t>2023-03</t>
        </is>
      </c>
      <c r="I3" s="5" t="inlineStr">
        <is>
          <t>2023-04</t>
        </is>
      </c>
      <c r="J3" s="5" t="inlineStr">
        <is>
          <t>2023-05</t>
        </is>
      </c>
      <c r="K3" s="5" t="inlineStr">
        <is>
          <t>2023-06</t>
        </is>
      </c>
      <c r="L3" s="5" t="inlineStr">
        <is>
          <t>2023-07</t>
        </is>
      </c>
      <c r="M3" s="5" t="inlineStr">
        <is>
          <t>2023-08</t>
        </is>
      </c>
      <c r="N3" s="5" t="inlineStr">
        <is>
          <t>2023-09</t>
        </is>
      </c>
      <c r="O3" s="5" t="inlineStr">
        <is>
          <t>2023-10</t>
        </is>
      </c>
      <c r="P3" s="5" t="inlineStr">
        <is>
          <t>2023-11</t>
        </is>
      </c>
      <c r="Q3" s="5" t="inlineStr">
        <is>
          <t>2023-12</t>
        </is>
      </c>
      <c r="R3" s="5" t="inlineStr">
        <is>
          <t>2024-01</t>
        </is>
      </c>
      <c r="S3" s="5" t="inlineStr">
        <is>
          <t>2024-02</t>
        </is>
      </c>
      <c r="T3" s="5" t="inlineStr">
        <is>
          <t>2024-03</t>
        </is>
      </c>
      <c r="U3" s="5" t="inlineStr">
        <is>
          <t>2024-04</t>
        </is>
      </c>
      <c r="V3" s="5" t="inlineStr">
        <is>
          <t>2024-05</t>
        </is>
      </c>
      <c r="W3" s="5" t="inlineStr">
        <is>
          <t>2024-06</t>
        </is>
      </c>
      <c r="X3" s="5" t="inlineStr">
        <is>
          <t>2024-07</t>
        </is>
      </c>
      <c r="Y3" s="5" t="inlineStr">
        <is>
          <t>2024-08</t>
        </is>
      </c>
      <c r="Z3" s="5" t="inlineStr">
        <is>
          <t>2024-09</t>
        </is>
      </c>
      <c r="AA3" s="5" t="inlineStr">
        <is>
          <t>2024-10</t>
        </is>
      </c>
      <c r="AB3" s="5" t="inlineStr">
        <is>
          <t>2024-11</t>
        </is>
      </c>
      <c r="AC3" s="5" t="inlineStr">
        <is>
          <t>2024-12</t>
        </is>
      </c>
      <c r="AD3" s="5" t="inlineStr">
        <is>
          <t>2025-01</t>
        </is>
      </c>
      <c r="AE3" s="5" t="inlineStr">
        <is>
          <t>2025-02</t>
        </is>
      </c>
      <c r="AF3" s="5" t="inlineStr">
        <is>
          <t>2025-03</t>
        </is>
      </c>
      <c r="AG3" s="5" t="inlineStr">
        <is>
          <t>2025-04</t>
        </is>
      </c>
      <c r="AH3" s="5" t="inlineStr">
        <is>
          <t>2025-05</t>
        </is>
      </c>
      <c r="AI3" s="5" t="inlineStr">
        <is>
          <t>2025-06</t>
        </is>
      </c>
      <c r="AJ3" s="5" t="inlineStr">
        <is>
          <t>2025-07</t>
        </is>
      </c>
      <c r="AK3" s="5" t="inlineStr">
        <is>
          <t>2025-08</t>
        </is>
      </c>
      <c r="AL3" s="5" t="inlineStr">
        <is>
          <t>2025-09</t>
        </is>
      </c>
      <c r="AM3" s="5" t="inlineStr">
        <is>
          <t>2025-10</t>
        </is>
      </c>
      <c r="AN3" s="5" t="inlineStr">
        <is>
          <t>2025-11</t>
        </is>
      </c>
      <c r="AO3" s="5" t="inlineStr">
        <is>
          <t>2025-12</t>
        </is>
      </c>
    </row>
    <row r="4">
      <c r="A4" s="6" t="inlineStr">
        <is>
          <t>acct_4000</t>
        </is>
      </c>
      <c r="B4" s="6" t="inlineStr">
        <is>
          <t>Revenue - Product A</t>
        </is>
      </c>
      <c r="C4" s="6" t="inlineStr">
        <is>
          <t>IS</t>
        </is>
      </c>
      <c r="D4" s="6" t="inlineStr">
        <is>
          <t>Revenue</t>
        </is>
      </c>
      <c r="E4" s="6" t="inlineStr">
        <is>
          <t>Core Revenue</t>
        </is>
      </c>
      <c r="F4" s="7" t="n">
        <v>-1189.68742</v>
      </c>
      <c r="G4" s="7" t="n">
        <v>-1147.15461</v>
      </c>
      <c r="H4" s="7" t="n">
        <v>-1207.88302</v>
      </c>
      <c r="I4" s="7" t="n">
        <v>-1239.94889</v>
      </c>
      <c r="J4" s="7" t="n">
        <v>-1183.54989</v>
      </c>
      <c r="K4" s="7" t="n">
        <v>-1340.06304</v>
      </c>
      <c r="L4" s="7" t="n">
        <v>-1280.72998</v>
      </c>
      <c r="M4" s="7" t="n">
        <v>-1238.87287</v>
      </c>
      <c r="N4" s="7" t="n">
        <v>-1317.49135</v>
      </c>
      <c r="O4" s="7" t="n">
        <v>-1420.67852</v>
      </c>
      <c r="P4" s="7" t="n">
        <v>-1401.31583</v>
      </c>
      <c r="Q4" s="7" t="n">
        <v>-1525.0881</v>
      </c>
      <c r="R4" s="7" t="n">
        <v>-1243.46158</v>
      </c>
      <c r="S4" s="7" t="n">
        <v>-1226.45369</v>
      </c>
      <c r="T4" s="7" t="n">
        <v>-1300.15462</v>
      </c>
      <c r="U4" s="7" t="n">
        <v>-1383.36024</v>
      </c>
      <c r="V4" s="7" t="n">
        <v>-1335.28149</v>
      </c>
      <c r="W4" s="7" t="n">
        <v>-1446.34246</v>
      </c>
      <c r="X4" s="7" t="n">
        <v>-1497.01882</v>
      </c>
      <c r="Y4" s="7" t="n">
        <v>-1498.21108</v>
      </c>
      <c r="Z4" s="7" t="n">
        <v>-1494.82998</v>
      </c>
      <c r="AA4" s="7" t="n">
        <v>-1712.82827</v>
      </c>
      <c r="AB4" s="7" t="n">
        <v>-1722.58869</v>
      </c>
      <c r="AC4" s="7" t="n">
        <v>-1601.10699</v>
      </c>
      <c r="AD4" s="7" t="n">
        <v>-1565.77601</v>
      </c>
      <c r="AE4" s="7" t="n">
        <v>-1547.8841</v>
      </c>
      <c r="AF4" s="7" t="n">
        <v>-1558.13927</v>
      </c>
      <c r="AG4" s="7" t="n">
        <v>-1623.88734</v>
      </c>
      <c r="AH4" s="7" t="n">
        <v>-1612.60255</v>
      </c>
      <c r="AI4" s="7" t="n">
        <v>-1836.2004</v>
      </c>
      <c r="AJ4" s="7" t="n">
        <v>-1703.1664</v>
      </c>
      <c r="AK4" s="7" t="n">
        <v>-1740.38783</v>
      </c>
      <c r="AL4" s="7" t="n">
        <v>-1735.20007</v>
      </c>
      <c r="AM4" s="7" t="n">
        <v>-2064.3098</v>
      </c>
      <c r="AN4" s="7" t="n">
        <v>-2020.11209</v>
      </c>
      <c r="AO4" s="7" t="n">
        <v>-2129.44256</v>
      </c>
    </row>
    <row r="5">
      <c r="A5" s="6" t="inlineStr">
        <is>
          <t>acct_4010</t>
        </is>
      </c>
      <c r="B5" s="6" t="inlineStr">
        <is>
          <t>Revenue - Product B</t>
        </is>
      </c>
      <c r="C5" s="6" t="inlineStr">
        <is>
          <t>IS</t>
        </is>
      </c>
      <c r="D5" s="6" t="inlineStr">
        <is>
          <t>Revenue</t>
        </is>
      </c>
      <c r="E5" s="6" t="inlineStr">
        <is>
          <t>Core Revenue</t>
        </is>
      </c>
      <c r="F5" s="7" t="n">
        <v>-574.33186</v>
      </c>
      <c r="G5" s="7" t="n">
        <v>-553.7987800000001</v>
      </c>
      <c r="H5" s="7" t="n">
        <v>-583.1159399999999</v>
      </c>
      <c r="I5" s="7" t="n">
        <v>-598.5960200000001</v>
      </c>
      <c r="J5" s="7" t="n">
        <v>-571.36891</v>
      </c>
      <c r="K5" s="7" t="n">
        <v>-646.92698</v>
      </c>
      <c r="L5" s="7" t="n">
        <v>-618.2834399999999</v>
      </c>
      <c r="M5" s="7" t="n">
        <v>-598.0765600000001</v>
      </c>
      <c r="N5" s="7" t="n">
        <v>-636.0303</v>
      </c>
      <c r="O5" s="7" t="n">
        <v>-685.8448000000001</v>
      </c>
      <c r="P5" s="7" t="n">
        <v>-676.4973</v>
      </c>
      <c r="Q5" s="7" t="n">
        <v>-736.2494300000001</v>
      </c>
      <c r="R5" s="7" t="n">
        <v>-600.2918000000001</v>
      </c>
      <c r="S5" s="7" t="n">
        <v>-592.08109</v>
      </c>
      <c r="T5" s="7" t="n">
        <v>-627.66085</v>
      </c>
      <c r="U5" s="7" t="n">
        <v>-667.82908</v>
      </c>
      <c r="V5" s="7" t="n">
        <v>-644.61865</v>
      </c>
      <c r="W5" s="7" t="n">
        <v>-698.23429</v>
      </c>
      <c r="X5" s="7" t="n">
        <v>-722.69874</v>
      </c>
      <c r="Y5" s="7" t="n">
        <v>-723.27432</v>
      </c>
      <c r="Z5" s="7" t="n">
        <v>-721.64206</v>
      </c>
      <c r="AA5" s="7" t="n">
        <v>-826.88261</v>
      </c>
      <c r="AB5" s="7" t="n">
        <v>-831.5945400000001</v>
      </c>
      <c r="AC5" s="7" t="n">
        <v>-772.9481999999999</v>
      </c>
      <c r="AD5" s="7" t="n">
        <v>-755.89187</v>
      </c>
      <c r="AE5" s="7" t="n">
        <v>-747.2543900000001</v>
      </c>
      <c r="AF5" s="7" t="n">
        <v>-752.20516</v>
      </c>
      <c r="AG5" s="7" t="n">
        <v>-783.94561</v>
      </c>
      <c r="AH5" s="7" t="n">
        <v>-778.49778</v>
      </c>
      <c r="AI5" s="7" t="n">
        <v>-886.44157</v>
      </c>
      <c r="AJ5" s="7" t="n">
        <v>-822.21826</v>
      </c>
      <c r="AK5" s="7" t="n">
        <v>-840.18723</v>
      </c>
      <c r="AL5" s="7" t="n">
        <v>-837.6827900000001</v>
      </c>
      <c r="AM5" s="7" t="n">
        <v>-996.56335</v>
      </c>
      <c r="AN5" s="7" t="n">
        <v>-975.22653</v>
      </c>
      <c r="AO5" s="7" t="n">
        <v>-1028.00675</v>
      </c>
    </row>
    <row r="6">
      <c r="A6" s="6" t="inlineStr">
        <is>
          <t>acct_4020</t>
        </is>
      </c>
      <c r="B6" s="6" t="inlineStr">
        <is>
          <t>Revenue - Services</t>
        </is>
      </c>
      <c r="C6" s="6" t="inlineStr">
        <is>
          <t>IS</t>
        </is>
      </c>
      <c r="D6" s="6" t="inlineStr">
        <is>
          <t>Revenue</t>
        </is>
      </c>
      <c r="E6" s="6" t="inlineStr">
        <is>
          <t>Core Revenue</t>
        </is>
      </c>
      <c r="F6" s="7" t="n">
        <v>-205.11852</v>
      </c>
      <c r="G6" s="7" t="n">
        <v>-197.78528</v>
      </c>
      <c r="H6" s="7" t="n">
        <v>-208.25569</v>
      </c>
      <c r="I6" s="7" t="n">
        <v>-213.78429</v>
      </c>
      <c r="J6" s="7" t="n">
        <v>-204.06033</v>
      </c>
      <c r="K6" s="7" t="n">
        <v>-231.04535</v>
      </c>
      <c r="L6" s="7" t="n">
        <v>-220.81551</v>
      </c>
      <c r="M6" s="7" t="n">
        <v>-213.59877</v>
      </c>
      <c r="N6" s="7" t="n">
        <v>-227.15368</v>
      </c>
      <c r="O6" s="7" t="n">
        <v>-244.94457</v>
      </c>
      <c r="P6" s="7" t="n">
        <v>-241.60618</v>
      </c>
      <c r="Q6" s="7" t="n">
        <v>-262.94622</v>
      </c>
      <c r="R6" s="7" t="n">
        <v>-214.38993</v>
      </c>
      <c r="S6" s="7" t="n">
        <v>-211.45753</v>
      </c>
      <c r="T6" s="7" t="n">
        <v>-224.16459</v>
      </c>
      <c r="U6" s="7" t="n">
        <v>-238.51039</v>
      </c>
      <c r="V6" s="7" t="n">
        <v>-230.22095</v>
      </c>
      <c r="W6" s="7" t="n">
        <v>-249.36939</v>
      </c>
      <c r="X6" s="7" t="n">
        <v>-258.10669</v>
      </c>
      <c r="Y6" s="7" t="n">
        <v>-258.31226</v>
      </c>
      <c r="Z6" s="7" t="n">
        <v>-257.72931</v>
      </c>
      <c r="AA6" s="7" t="n">
        <v>-295.31522</v>
      </c>
      <c r="AB6" s="7" t="n">
        <v>-296.99805</v>
      </c>
      <c r="AC6" s="7" t="n">
        <v>-276.05293</v>
      </c>
      <c r="AD6" s="7" t="n">
        <v>-269.96138</v>
      </c>
      <c r="AE6" s="7" t="n">
        <v>-266.87657</v>
      </c>
      <c r="AF6" s="7" t="n">
        <v>-268.6447</v>
      </c>
      <c r="AG6" s="7" t="n">
        <v>-279.98058</v>
      </c>
      <c r="AH6" s="7" t="n">
        <v>-278.03492</v>
      </c>
      <c r="AI6" s="7" t="n">
        <v>-316.58628</v>
      </c>
      <c r="AJ6" s="7" t="n">
        <v>-293.64938</v>
      </c>
      <c r="AK6" s="7" t="n">
        <v>-300.06687</v>
      </c>
      <c r="AL6" s="7" t="n">
        <v>-299.17243</v>
      </c>
      <c r="AM6" s="7" t="n">
        <v>-355.91548</v>
      </c>
      <c r="AN6" s="7" t="n">
        <v>-348.29519</v>
      </c>
      <c r="AO6" s="7" t="n">
        <v>-367.14527</v>
      </c>
    </row>
    <row r="7">
      <c r="A7" s="6" t="inlineStr">
        <is>
          <t>acct_4090</t>
        </is>
      </c>
      <c r="B7" s="6" t="inlineStr">
        <is>
          <t>Revenue - Discounts/Returns</t>
        </is>
      </c>
      <c r="C7" s="6" t="inlineStr">
        <is>
          <t>IS</t>
        </is>
      </c>
      <c r="D7" s="6" t="inlineStr">
        <is>
          <t>Revenue</t>
        </is>
      </c>
      <c r="E7" s="6" t="inlineStr">
        <is>
          <t>Core Revenue</t>
        </is>
      </c>
      <c r="F7" s="7" t="n">
        <v>-82.04741</v>
      </c>
      <c r="G7" s="7" t="n">
        <v>-79.11411</v>
      </c>
      <c r="H7" s="7" t="n">
        <v>-83.30228</v>
      </c>
      <c r="I7" s="7" t="n">
        <v>-85.51372000000001</v>
      </c>
      <c r="J7" s="7" t="n">
        <v>-81.62413000000001</v>
      </c>
      <c r="K7" s="7" t="n">
        <v>-92.41813999999999</v>
      </c>
      <c r="L7" s="7" t="n">
        <v>-88.32621</v>
      </c>
      <c r="M7" s="7" t="n">
        <v>-85.43951</v>
      </c>
      <c r="N7" s="7" t="n">
        <v>-90.86147</v>
      </c>
      <c r="O7" s="7" t="n">
        <v>-97.97783</v>
      </c>
      <c r="P7" s="7" t="n">
        <v>-96.64247</v>
      </c>
      <c r="Q7" s="7" t="n">
        <v>-105.17849</v>
      </c>
      <c r="R7" s="7" t="n">
        <v>-85.75597</v>
      </c>
      <c r="S7" s="7" t="n">
        <v>-84.58301</v>
      </c>
      <c r="T7" s="7" t="n">
        <v>-89.66584</v>
      </c>
      <c r="U7" s="7" t="n">
        <v>-95.40414999999999</v>
      </c>
      <c r="V7" s="7" t="n">
        <v>-92.08838</v>
      </c>
      <c r="W7" s="7" t="n">
        <v>-99.74776</v>
      </c>
      <c r="X7" s="7" t="n">
        <v>-103.24268</v>
      </c>
      <c r="Y7" s="7" t="n">
        <v>-103.3249</v>
      </c>
      <c r="Z7" s="7" t="n">
        <v>-103.09172</v>
      </c>
      <c r="AA7" s="7" t="n">
        <v>-118.12609</v>
      </c>
      <c r="AB7" s="7" t="n">
        <v>-118.79922</v>
      </c>
      <c r="AC7" s="7" t="n">
        <v>-110.42117</v>
      </c>
      <c r="AD7" s="7" t="n">
        <v>-107.98455</v>
      </c>
      <c r="AE7" s="7" t="n">
        <v>-106.75063</v>
      </c>
      <c r="AF7" s="7" t="n">
        <v>-107.45788</v>
      </c>
      <c r="AG7" s="7" t="n">
        <v>-111.99223</v>
      </c>
      <c r="AH7" s="7" t="n">
        <v>-111.21397</v>
      </c>
      <c r="AI7" s="7" t="n">
        <v>-126.63451</v>
      </c>
      <c r="AJ7" s="7" t="n">
        <v>-117.45975</v>
      </c>
      <c r="AK7" s="7" t="n">
        <v>-120.02675</v>
      </c>
      <c r="AL7" s="7" t="n">
        <v>-119.66897</v>
      </c>
      <c r="AM7" s="7" t="n">
        <v>-142.36619</v>
      </c>
      <c r="AN7" s="7" t="n">
        <v>-139.31808</v>
      </c>
      <c r="AO7" s="7" t="n">
        <v>-146.85811</v>
      </c>
    </row>
    <row r="8">
      <c r="A8" s="6" t="inlineStr">
        <is>
          <t>acct_5000</t>
        </is>
      </c>
      <c r="B8" s="6" t="inlineStr">
        <is>
          <t>Direct materials</t>
        </is>
      </c>
      <c r="C8" s="6" t="inlineStr">
        <is>
          <t>IS</t>
        </is>
      </c>
      <c r="D8" s="6" t="inlineStr">
        <is>
          <t>Cost of Goods Sold</t>
        </is>
      </c>
      <c r="E8" s="6" t="inlineStr">
        <is>
          <t>Direct Costs</t>
        </is>
      </c>
      <c r="F8" s="7" t="n">
        <v>612.9099200000001</v>
      </c>
      <c r="G8" s="7" t="n">
        <v>590.99762</v>
      </c>
      <c r="H8" s="7" t="n">
        <v>622.28403</v>
      </c>
      <c r="I8" s="7" t="n">
        <v>638.8039100000001</v>
      </c>
      <c r="J8" s="7" t="n">
        <v>609.7479499999999</v>
      </c>
      <c r="K8" s="7" t="n">
        <v>690.3812800000001</v>
      </c>
      <c r="L8" s="7" t="n">
        <v>659.8137399999999</v>
      </c>
      <c r="M8" s="7" t="n">
        <v>638.2495600000001</v>
      </c>
      <c r="N8" s="7" t="n">
        <v>678.7526700000001</v>
      </c>
      <c r="O8" s="7" t="n">
        <v>731.91323</v>
      </c>
      <c r="P8" s="7" t="n">
        <v>721.9378399999999</v>
      </c>
      <c r="Q8" s="7" t="n">
        <v>785.7035500000001</v>
      </c>
      <c r="R8" s="7" t="n">
        <v>640.6136</v>
      </c>
      <c r="S8" s="7" t="n">
        <v>631.8513799999999</v>
      </c>
      <c r="T8" s="7" t="n">
        <v>669.82104</v>
      </c>
      <c r="U8" s="7" t="n">
        <v>712.68738</v>
      </c>
      <c r="V8" s="7" t="n">
        <v>687.9179</v>
      </c>
      <c r="W8" s="7" t="n">
        <v>745.1349200000001</v>
      </c>
      <c r="X8" s="7" t="n">
        <v>771.24265</v>
      </c>
      <c r="Y8" s="7" t="n">
        <v>771.85689</v>
      </c>
      <c r="Z8" s="7" t="n">
        <v>770.11499</v>
      </c>
      <c r="AA8" s="7" t="n">
        <v>882.42459</v>
      </c>
      <c r="AB8" s="7" t="n">
        <v>887.45302</v>
      </c>
      <c r="AC8" s="7" t="n">
        <v>824.86739</v>
      </c>
      <c r="AD8" s="7" t="n">
        <v>806.6653699999999</v>
      </c>
      <c r="AE8" s="7" t="n">
        <v>797.44772</v>
      </c>
      <c r="AF8" s="7" t="n">
        <v>802.73103</v>
      </c>
      <c r="AG8" s="7" t="n">
        <v>836.6035000000001</v>
      </c>
      <c r="AH8" s="7" t="n">
        <v>830.7897399999999</v>
      </c>
      <c r="AI8" s="7" t="n">
        <v>945.98415</v>
      </c>
      <c r="AJ8" s="7" t="n">
        <v>877.4469300000001</v>
      </c>
      <c r="AK8" s="7" t="n">
        <v>896.62288</v>
      </c>
      <c r="AL8" s="7" t="n">
        <v>893.9502199999999</v>
      </c>
      <c r="AM8" s="7" t="n">
        <v>1063.50284</v>
      </c>
      <c r="AN8" s="7" t="n">
        <v>1040.73282</v>
      </c>
      <c r="AO8" s="7" t="n">
        <v>1097.0583</v>
      </c>
    </row>
    <row r="9">
      <c r="A9" s="6" t="inlineStr">
        <is>
          <t>acct_5100</t>
        </is>
      </c>
      <c r="B9" s="6" t="inlineStr">
        <is>
          <t>Direct labor</t>
        </is>
      </c>
      <c r="C9" s="6" t="inlineStr">
        <is>
          <t>IS</t>
        </is>
      </c>
      <c r="D9" s="6" t="inlineStr">
        <is>
          <t>Cost of Goods Sold</t>
        </is>
      </c>
      <c r="E9" s="6" t="inlineStr">
        <is>
          <t>Direct Costs</t>
        </is>
      </c>
      <c r="F9" s="7" t="n">
        <v>162.24086</v>
      </c>
      <c r="G9" s="7" t="n">
        <v>156.44055</v>
      </c>
      <c r="H9" s="7" t="n">
        <v>164.72224</v>
      </c>
      <c r="I9" s="7" t="n">
        <v>169.09515</v>
      </c>
      <c r="J9" s="7" t="n">
        <v>161.40387</v>
      </c>
      <c r="K9" s="7" t="n">
        <v>182.74799</v>
      </c>
      <c r="L9" s="7" t="n">
        <v>174.65658</v>
      </c>
      <c r="M9" s="7" t="n">
        <v>168.94841</v>
      </c>
      <c r="N9" s="7" t="n">
        <v>179.66982</v>
      </c>
      <c r="O9" s="7" t="n">
        <v>193.74174</v>
      </c>
      <c r="P9" s="7" t="n">
        <v>191.10119</v>
      </c>
      <c r="Q9" s="7" t="n">
        <v>207.98035</v>
      </c>
      <c r="R9" s="7" t="n">
        <v>169.57419</v>
      </c>
      <c r="S9" s="7" t="n">
        <v>167.25478</v>
      </c>
      <c r="T9" s="7" t="n">
        <v>177.30557</v>
      </c>
      <c r="U9" s="7" t="n">
        <v>188.65254</v>
      </c>
      <c r="V9" s="7" t="n">
        <v>182.09591</v>
      </c>
      <c r="W9" s="7" t="n">
        <v>197.2416</v>
      </c>
      <c r="X9" s="7" t="n">
        <v>204.15247</v>
      </c>
      <c r="Y9" s="7" t="n">
        <v>204.31506</v>
      </c>
      <c r="Z9" s="7" t="n">
        <v>203.85397</v>
      </c>
      <c r="AA9" s="7" t="n">
        <v>233.58298</v>
      </c>
      <c r="AB9" s="7" t="n">
        <v>234.91403</v>
      </c>
      <c r="AC9" s="7" t="n">
        <v>218.34725</v>
      </c>
      <c r="AD9" s="7" t="n">
        <v>213.52907</v>
      </c>
      <c r="AE9" s="7" t="n">
        <v>211.0891</v>
      </c>
      <c r="AF9" s="7" t="n">
        <v>212.48763</v>
      </c>
      <c r="AG9" s="7" t="n">
        <v>221.45387</v>
      </c>
      <c r="AH9" s="7" t="n">
        <v>219.91493</v>
      </c>
      <c r="AI9" s="7" t="n">
        <v>250.40757</v>
      </c>
      <c r="AJ9" s="7" t="n">
        <v>232.26536</v>
      </c>
      <c r="AK9" s="7" t="n">
        <v>237.34135</v>
      </c>
      <c r="AL9" s="7" t="n">
        <v>236.63388</v>
      </c>
      <c r="AM9" s="7" t="n">
        <v>281.51546</v>
      </c>
      <c r="AN9" s="7" t="n">
        <v>275.4881</v>
      </c>
      <c r="AO9" s="7" t="n">
        <v>290.39779</v>
      </c>
    </row>
    <row r="10">
      <c r="A10" s="6" t="inlineStr">
        <is>
          <t>acct_5200</t>
        </is>
      </c>
      <c r="B10" s="6" t="inlineStr">
        <is>
          <t>Freight &amp; handling</t>
        </is>
      </c>
      <c r="C10" s="6" t="inlineStr">
        <is>
          <t>IS</t>
        </is>
      </c>
      <c r="D10" s="6" t="inlineStr">
        <is>
          <t>Cost of Goods Sold</t>
        </is>
      </c>
      <c r="E10" s="6" t="inlineStr">
        <is>
          <t>Direct Costs</t>
        </is>
      </c>
      <c r="F10" s="7" t="n">
        <v>126.18734</v>
      </c>
      <c r="G10" s="7" t="n">
        <v>121.67598</v>
      </c>
      <c r="H10" s="7" t="n">
        <v>128.1173</v>
      </c>
      <c r="I10" s="7" t="n">
        <v>131.51845</v>
      </c>
      <c r="J10" s="7" t="n">
        <v>125.53634</v>
      </c>
      <c r="K10" s="7" t="n">
        <v>142.13732</v>
      </c>
      <c r="L10" s="7" t="n">
        <v>135.84401</v>
      </c>
      <c r="M10" s="7" t="n">
        <v>131.40432</v>
      </c>
      <c r="N10" s="7" t="n">
        <v>139.7432</v>
      </c>
      <c r="O10" s="7" t="n">
        <v>150.68802</v>
      </c>
      <c r="P10" s="7" t="n">
        <v>148.63426</v>
      </c>
      <c r="Q10" s="7" t="n">
        <v>161.76249</v>
      </c>
      <c r="R10" s="7" t="n">
        <v>131.89103</v>
      </c>
      <c r="S10" s="7" t="n">
        <v>130.08705</v>
      </c>
      <c r="T10" s="7" t="n">
        <v>137.90433</v>
      </c>
      <c r="U10" s="7" t="n">
        <v>146.72976</v>
      </c>
      <c r="V10" s="7" t="n">
        <v>141.63016</v>
      </c>
      <c r="W10" s="7" t="n">
        <v>153.41013</v>
      </c>
      <c r="X10" s="7" t="n">
        <v>158.78525</v>
      </c>
      <c r="Y10" s="7" t="n">
        <v>158.91171</v>
      </c>
      <c r="Z10" s="7" t="n">
        <v>158.55309</v>
      </c>
      <c r="AA10" s="7" t="n">
        <v>181.67565</v>
      </c>
      <c r="AB10" s="7" t="n">
        <v>182.71092</v>
      </c>
      <c r="AC10" s="7" t="n">
        <v>169.82564</v>
      </c>
      <c r="AD10" s="7" t="n">
        <v>166.07817</v>
      </c>
      <c r="AE10" s="7" t="n">
        <v>164.18041</v>
      </c>
      <c r="AF10" s="7" t="n">
        <v>165.26815</v>
      </c>
      <c r="AG10" s="7" t="n">
        <v>172.2419</v>
      </c>
      <c r="AH10" s="7" t="n">
        <v>171.04495</v>
      </c>
      <c r="AI10" s="7" t="n">
        <v>194.76144</v>
      </c>
      <c r="AJ10" s="7" t="n">
        <v>180.65084</v>
      </c>
      <c r="AK10" s="7" t="n">
        <v>184.59883</v>
      </c>
      <c r="AL10" s="7" t="n">
        <v>184.04857</v>
      </c>
      <c r="AM10" s="7" t="n">
        <v>218.95647</v>
      </c>
      <c r="AN10" s="7" t="n">
        <v>214.26852</v>
      </c>
      <c r="AO10" s="7" t="n">
        <v>225.86495</v>
      </c>
    </row>
    <row r="11">
      <c r="A11" s="6" t="inlineStr">
        <is>
          <t>acct_5300</t>
        </is>
      </c>
      <c r="B11" s="6" t="inlineStr">
        <is>
          <t>Manufacturing overhead</t>
        </is>
      </c>
      <c r="C11" s="6" t="inlineStr">
        <is>
          <t>IS</t>
        </is>
      </c>
      <c r="D11" s="6" t="inlineStr">
        <is>
          <t>Cost of Goods Sold</t>
        </is>
      </c>
      <c r="E11" s="6" t="inlineStr">
        <is>
          <t>Direct Costs</t>
        </is>
      </c>
      <c r="F11" s="7" t="n">
        <v>36.05352</v>
      </c>
      <c r="G11" s="7" t="n">
        <v>34.76457</v>
      </c>
      <c r="H11" s="7" t="n">
        <v>36.60494</v>
      </c>
      <c r="I11" s="7" t="n">
        <v>37.5767</v>
      </c>
      <c r="J11" s="7" t="n">
        <v>35.86753</v>
      </c>
      <c r="K11" s="7" t="n">
        <v>40.61066</v>
      </c>
      <c r="L11" s="7" t="n">
        <v>38.81257</v>
      </c>
      <c r="M11" s="7" t="n">
        <v>37.54409</v>
      </c>
      <c r="N11" s="7" t="n">
        <v>39.92663</v>
      </c>
      <c r="O11" s="7" t="n">
        <v>43.05372</v>
      </c>
      <c r="P11" s="7" t="n">
        <v>42.46693</v>
      </c>
      <c r="Q11" s="7" t="n">
        <v>46.21786</v>
      </c>
      <c r="R11" s="7" t="n">
        <v>37.68315</v>
      </c>
      <c r="S11" s="7" t="n">
        <v>37.16773000000001</v>
      </c>
      <c r="T11" s="7" t="n">
        <v>39.40124</v>
      </c>
      <c r="U11" s="7" t="n">
        <v>41.92279</v>
      </c>
      <c r="V11" s="7" t="n">
        <v>40.46576</v>
      </c>
      <c r="W11" s="7" t="n">
        <v>43.83147</v>
      </c>
      <c r="X11" s="7" t="n">
        <v>45.36721</v>
      </c>
      <c r="Y11" s="7" t="n">
        <v>45.40335</v>
      </c>
      <c r="Z11" s="7" t="n">
        <v>45.30088</v>
      </c>
      <c r="AA11" s="7" t="n">
        <v>51.90733</v>
      </c>
      <c r="AB11" s="7" t="n">
        <v>52.20312000000001</v>
      </c>
      <c r="AC11" s="7" t="n">
        <v>48.52161</v>
      </c>
      <c r="AD11" s="7" t="n">
        <v>47.4509</v>
      </c>
      <c r="AE11" s="7" t="n">
        <v>46.90869</v>
      </c>
      <c r="AF11" s="7" t="n">
        <v>47.21947</v>
      </c>
      <c r="AG11" s="7" t="n">
        <v>49.21197</v>
      </c>
      <c r="AH11" s="7" t="n">
        <v>48.86998000000001</v>
      </c>
      <c r="AI11" s="7" t="n">
        <v>55.64613</v>
      </c>
      <c r="AJ11" s="7" t="n">
        <v>51.61453</v>
      </c>
      <c r="AK11" s="7" t="n">
        <v>52.74252</v>
      </c>
      <c r="AL11" s="7" t="n">
        <v>52.58531</v>
      </c>
      <c r="AM11" s="7" t="n">
        <v>62.55899</v>
      </c>
      <c r="AN11" s="7" t="n">
        <v>61.21958</v>
      </c>
      <c r="AO11" s="7" t="n">
        <v>64.53283999999999</v>
      </c>
    </row>
    <row r="12">
      <c r="A12" s="6" t="inlineStr">
        <is>
          <t>acct_6000</t>
        </is>
      </c>
      <c r="B12" s="6" t="inlineStr">
        <is>
          <t>Payroll expense</t>
        </is>
      </c>
      <c r="C12" s="6" t="inlineStr">
        <is>
          <t>IS</t>
        </is>
      </c>
      <c r="D12" s="6" t="inlineStr">
        <is>
          <t>Operating Expenses</t>
        </is>
      </c>
      <c r="E12" s="6" t="inlineStr">
        <is>
          <t>Payroll</t>
        </is>
      </c>
      <c r="F12" s="7" t="n">
        <v>225.63037</v>
      </c>
      <c r="G12" s="7" t="n">
        <v>217.5638</v>
      </c>
      <c r="H12" s="7" t="n">
        <v>229.08126</v>
      </c>
      <c r="I12" s="7" t="n">
        <v>235.16272</v>
      </c>
      <c r="J12" s="7" t="n">
        <v>224.46636</v>
      </c>
      <c r="K12" s="7" t="n">
        <v>254.14989</v>
      </c>
      <c r="L12" s="7" t="n">
        <v>242.89707</v>
      </c>
      <c r="M12" s="7" t="n">
        <v>234.95865</v>
      </c>
      <c r="N12" s="7" t="n">
        <v>249.86905</v>
      </c>
      <c r="O12" s="7" t="n">
        <v>269.43903</v>
      </c>
      <c r="P12" s="7" t="n">
        <v>265.7668</v>
      </c>
      <c r="Q12" s="7" t="n">
        <v>289.24085</v>
      </c>
      <c r="R12" s="7" t="n">
        <v>235.82892</v>
      </c>
      <c r="S12" s="7" t="n">
        <v>232.60329</v>
      </c>
      <c r="T12" s="7" t="n">
        <v>246.58105</v>
      </c>
      <c r="U12" s="7" t="n">
        <v>262.36143</v>
      </c>
      <c r="V12" s="7" t="n">
        <v>253.24304</v>
      </c>
      <c r="W12" s="7" t="n">
        <v>274.30633</v>
      </c>
      <c r="X12" s="7" t="n">
        <v>283.91736</v>
      </c>
      <c r="Y12" s="7" t="n">
        <v>284.14348</v>
      </c>
      <c r="Z12" s="7" t="n">
        <v>283.50224</v>
      </c>
      <c r="AA12" s="7" t="n">
        <v>324.84674</v>
      </c>
      <c r="AB12" s="7" t="n">
        <v>326.69785</v>
      </c>
      <c r="AC12" s="7" t="n">
        <v>303.65822</v>
      </c>
      <c r="AD12" s="7" t="n">
        <v>296.95752</v>
      </c>
      <c r="AE12" s="7" t="n">
        <v>293.56423</v>
      </c>
      <c r="AF12" s="7" t="n">
        <v>295.50917</v>
      </c>
      <c r="AG12" s="7" t="n">
        <v>307.97863</v>
      </c>
      <c r="AH12" s="7" t="n">
        <v>305.83841</v>
      </c>
      <c r="AI12" s="7" t="n">
        <v>348.2449</v>
      </c>
      <c r="AJ12" s="7" t="n">
        <v>323.01432</v>
      </c>
      <c r="AK12" s="7" t="n">
        <v>330.07355</v>
      </c>
      <c r="AL12" s="7" t="n">
        <v>329.08967</v>
      </c>
      <c r="AM12" s="7" t="n">
        <v>391.50703</v>
      </c>
      <c r="AN12" s="7" t="n">
        <v>383.12471</v>
      </c>
      <c r="AO12" s="7" t="n">
        <v>403.8598</v>
      </c>
    </row>
    <row r="13">
      <c r="A13" s="6" t="inlineStr">
        <is>
          <t>acct_6100</t>
        </is>
      </c>
      <c r="B13" s="6" t="inlineStr">
        <is>
          <t>Marketing expense</t>
        </is>
      </c>
      <c r="C13" s="6" t="inlineStr">
        <is>
          <t>IS</t>
        </is>
      </c>
      <c r="D13" s="6" t="inlineStr">
        <is>
          <t>Operating Expenses</t>
        </is>
      </c>
      <c r="E13" s="6" t="inlineStr">
        <is>
          <t>Marketing</t>
        </is>
      </c>
      <c r="F13" s="7" t="n">
        <v>164.09482</v>
      </c>
      <c r="G13" s="7" t="n">
        <v>158.22822</v>
      </c>
      <c r="H13" s="7" t="n">
        <v>166.60456</v>
      </c>
      <c r="I13" s="7" t="n">
        <v>171.02743</v>
      </c>
      <c r="J13" s="7" t="n">
        <v>163.24826</v>
      </c>
      <c r="K13" s="7" t="n">
        <v>184.83628</v>
      </c>
      <c r="L13" s="7" t="n">
        <v>176.65241</v>
      </c>
      <c r="M13" s="7" t="n">
        <v>170.87902</v>
      </c>
      <c r="N13" s="7" t="n">
        <v>181.72294</v>
      </c>
      <c r="O13" s="7" t="n">
        <v>195.95566</v>
      </c>
      <c r="P13" s="7" t="n">
        <v>193.28494</v>
      </c>
      <c r="Q13" s="7" t="n">
        <v>210.35698</v>
      </c>
      <c r="R13" s="7" t="n">
        <v>171.51194</v>
      </c>
      <c r="S13" s="7" t="n">
        <v>169.16603</v>
      </c>
      <c r="T13" s="7" t="n">
        <v>179.33167</v>
      </c>
      <c r="U13" s="7" t="n">
        <v>190.80831</v>
      </c>
      <c r="V13" s="7" t="n">
        <v>184.17676</v>
      </c>
      <c r="W13" s="7" t="n">
        <v>199.49551</v>
      </c>
      <c r="X13" s="7" t="n">
        <v>206.48535</v>
      </c>
      <c r="Y13" s="7" t="n">
        <v>206.6498</v>
      </c>
      <c r="Z13" s="7" t="n">
        <v>206.18345</v>
      </c>
      <c r="AA13" s="7" t="n">
        <v>236.25218</v>
      </c>
      <c r="AB13" s="7" t="n">
        <v>237.59844</v>
      </c>
      <c r="AC13" s="7" t="n">
        <v>220.84234</v>
      </c>
      <c r="AD13" s="7" t="n">
        <v>215.9691</v>
      </c>
      <c r="AE13" s="7" t="n">
        <v>213.50125</v>
      </c>
      <c r="AF13" s="7" t="n">
        <v>214.91576</v>
      </c>
      <c r="AG13" s="7" t="n">
        <v>223.98446</v>
      </c>
      <c r="AH13" s="7" t="n">
        <v>222.42794</v>
      </c>
      <c r="AI13" s="7" t="n">
        <v>253.26902</v>
      </c>
      <c r="AJ13" s="7" t="n">
        <v>234.9195</v>
      </c>
      <c r="AK13" s="7" t="n">
        <v>240.05349</v>
      </c>
      <c r="AL13" s="7" t="n">
        <v>239.33794</v>
      </c>
      <c r="AM13" s="7" t="n">
        <v>284.73239</v>
      </c>
      <c r="AN13" s="7" t="n">
        <v>278.63615</v>
      </c>
      <c r="AO13" s="7" t="n">
        <v>293.71621</v>
      </c>
    </row>
    <row r="14">
      <c r="A14" s="6" t="inlineStr">
        <is>
          <t>acct_6200</t>
        </is>
      </c>
      <c r="B14" s="6" t="inlineStr">
        <is>
          <t>General and administrative</t>
        </is>
      </c>
      <c r="C14" s="6" t="inlineStr">
        <is>
          <t>IS</t>
        </is>
      </c>
      <c r="D14" s="6" t="inlineStr">
        <is>
          <t>Operating Expenses</t>
        </is>
      </c>
      <c r="E14" s="6" t="inlineStr">
        <is>
          <t>G&amp;A</t>
        </is>
      </c>
      <c r="F14" s="7" t="n">
        <v>82.04741</v>
      </c>
      <c r="G14" s="7" t="n">
        <v>79.11411</v>
      </c>
      <c r="H14" s="7" t="n">
        <v>83.30228</v>
      </c>
      <c r="I14" s="7" t="n">
        <v>85.51372000000001</v>
      </c>
      <c r="J14" s="7" t="n">
        <v>81.62413000000001</v>
      </c>
      <c r="K14" s="7" t="n">
        <v>92.41813999999999</v>
      </c>
      <c r="L14" s="7" t="n">
        <v>88.32621</v>
      </c>
      <c r="M14" s="7" t="n">
        <v>85.43951</v>
      </c>
      <c r="N14" s="7" t="n">
        <v>90.86147</v>
      </c>
      <c r="O14" s="7" t="n">
        <v>97.97783</v>
      </c>
      <c r="P14" s="7" t="n">
        <v>96.64247</v>
      </c>
      <c r="Q14" s="7" t="n">
        <v>105.17849</v>
      </c>
      <c r="R14" s="7" t="n">
        <v>85.75597</v>
      </c>
      <c r="S14" s="7" t="n">
        <v>84.58301</v>
      </c>
      <c r="T14" s="7" t="n">
        <v>89.66584</v>
      </c>
      <c r="U14" s="7" t="n">
        <v>95.40414999999999</v>
      </c>
      <c r="V14" s="7" t="n">
        <v>92.08838</v>
      </c>
      <c r="W14" s="7" t="n">
        <v>99.74776</v>
      </c>
      <c r="X14" s="7" t="n">
        <v>103.24268</v>
      </c>
      <c r="Y14" s="7" t="n">
        <v>103.3249</v>
      </c>
      <c r="Z14" s="7" t="n">
        <v>103.09172</v>
      </c>
      <c r="AA14" s="7" t="n">
        <v>118.12609</v>
      </c>
      <c r="AB14" s="7" t="n">
        <v>118.79922</v>
      </c>
      <c r="AC14" s="7" t="n">
        <v>110.42117</v>
      </c>
      <c r="AD14" s="7" t="n">
        <v>107.98455</v>
      </c>
      <c r="AE14" s="7" t="n">
        <v>106.75063</v>
      </c>
      <c r="AF14" s="7" t="n">
        <v>107.45788</v>
      </c>
      <c r="AG14" s="7" t="n">
        <v>111.99223</v>
      </c>
      <c r="AH14" s="7" t="n">
        <v>111.21397</v>
      </c>
      <c r="AI14" s="7" t="n">
        <v>126.63451</v>
      </c>
      <c r="AJ14" s="7" t="n">
        <v>117.45975</v>
      </c>
      <c r="AK14" s="7" t="n">
        <v>120.02675</v>
      </c>
      <c r="AL14" s="7" t="n">
        <v>119.66897</v>
      </c>
      <c r="AM14" s="7" t="n">
        <v>142.36619</v>
      </c>
      <c r="AN14" s="7" t="n">
        <v>139.31808</v>
      </c>
      <c r="AO14" s="7" t="n">
        <v>146.85811</v>
      </c>
    </row>
    <row r="15">
      <c r="A15" s="6" t="inlineStr">
        <is>
          <t>acct_6300</t>
        </is>
      </c>
      <c r="B15" s="6" t="inlineStr">
        <is>
          <t>Research and development</t>
        </is>
      </c>
      <c r="C15" s="6" t="inlineStr">
        <is>
          <t>IS</t>
        </is>
      </c>
      <c r="D15" s="6" t="inlineStr">
        <is>
          <t>Operating Expenses</t>
        </is>
      </c>
      <c r="E15" s="6" t="inlineStr">
        <is>
          <t>R&amp;D</t>
        </is>
      </c>
      <c r="F15" s="7" t="n">
        <v>184.60667</v>
      </c>
      <c r="G15" s="7" t="n">
        <v>178.00675</v>
      </c>
      <c r="H15" s="7" t="n">
        <v>187.43012</v>
      </c>
      <c r="I15" s="7" t="n">
        <v>192.40586</v>
      </c>
      <c r="J15" s="7" t="n">
        <v>183.65429</v>
      </c>
      <c r="K15" s="7" t="n">
        <v>207.94082</v>
      </c>
      <c r="L15" s="7" t="n">
        <v>198.73396</v>
      </c>
      <c r="M15" s="7" t="n">
        <v>192.23889</v>
      </c>
      <c r="N15" s="7" t="n">
        <v>204.43831</v>
      </c>
      <c r="O15" s="7" t="n">
        <v>220.45012</v>
      </c>
      <c r="P15" s="7" t="n">
        <v>217.44556</v>
      </c>
      <c r="Q15" s="7" t="n">
        <v>236.6516</v>
      </c>
      <c r="R15" s="7" t="n">
        <v>192.95094</v>
      </c>
      <c r="S15" s="7" t="n">
        <v>190.31178</v>
      </c>
      <c r="T15" s="7" t="n">
        <v>201.74813</v>
      </c>
      <c r="U15" s="7" t="n">
        <v>214.65935</v>
      </c>
      <c r="V15" s="7" t="n">
        <v>207.19885</v>
      </c>
      <c r="W15" s="7" t="n">
        <v>224.43245</v>
      </c>
      <c r="X15" s="7" t="n">
        <v>232.29602</v>
      </c>
      <c r="Y15" s="7" t="n">
        <v>232.48103</v>
      </c>
      <c r="Z15" s="7" t="n">
        <v>231.95638</v>
      </c>
      <c r="AA15" s="7" t="n">
        <v>265.7837</v>
      </c>
      <c r="AB15" s="7" t="n">
        <v>267.29824</v>
      </c>
      <c r="AC15" s="7" t="n">
        <v>248.44764</v>
      </c>
      <c r="AD15" s="7" t="n">
        <v>242.96524</v>
      </c>
      <c r="AE15" s="7" t="n">
        <v>240.18891</v>
      </c>
      <c r="AF15" s="7" t="n">
        <v>241.78023</v>
      </c>
      <c r="AG15" s="7" t="n">
        <v>251.98252</v>
      </c>
      <c r="AH15" s="7" t="n">
        <v>250.23143</v>
      </c>
      <c r="AI15" s="7" t="n">
        <v>284.92765</v>
      </c>
      <c r="AJ15" s="7" t="n">
        <v>264.28444</v>
      </c>
      <c r="AK15" s="7" t="n">
        <v>270.06018</v>
      </c>
      <c r="AL15" s="7" t="n">
        <v>269.25518</v>
      </c>
      <c r="AM15" s="7" t="n">
        <v>320.32393</v>
      </c>
      <c r="AN15" s="7" t="n">
        <v>313.46567</v>
      </c>
      <c r="AO15" s="7" t="n">
        <v>330.43074</v>
      </c>
    </row>
    <row r="16">
      <c r="A16" s="6" t="inlineStr">
        <is>
          <t>acct_6400</t>
        </is>
      </c>
      <c r="B16" s="6" t="inlineStr">
        <is>
          <t>Depreciation &amp; amortization</t>
        </is>
      </c>
      <c r="C16" s="6" t="inlineStr">
        <is>
          <t>IS</t>
        </is>
      </c>
      <c r="D16" s="6" t="inlineStr">
        <is>
          <t>Operating Expenses</t>
        </is>
      </c>
      <c r="E16" s="6" t="inlineStr">
        <is>
          <t>D&amp;A</t>
        </is>
      </c>
      <c r="F16" s="7" t="n">
        <v>61.53556</v>
      </c>
      <c r="G16" s="7" t="n">
        <v>59.33558</v>
      </c>
      <c r="H16" s="7" t="n">
        <v>62.47671</v>
      </c>
      <c r="I16" s="7" t="n">
        <v>64.13529</v>
      </c>
      <c r="J16" s="7" t="n">
        <v>61.2181</v>
      </c>
      <c r="K16" s="7" t="n">
        <v>69.31361</v>
      </c>
      <c r="L16" s="7" t="n">
        <v>66.24464999999999</v>
      </c>
      <c r="M16" s="7" t="n">
        <v>64.07962999999999</v>
      </c>
      <c r="N16" s="7" t="n">
        <v>68.1461</v>
      </c>
      <c r="O16" s="7" t="n">
        <v>73.48336999999999</v>
      </c>
      <c r="P16" s="7" t="n">
        <v>72.48185000000001</v>
      </c>
      <c r="Q16" s="7" t="n">
        <v>78.88387</v>
      </c>
      <c r="R16" s="7" t="n">
        <v>64.31698</v>
      </c>
      <c r="S16" s="7" t="n">
        <v>63.43726</v>
      </c>
      <c r="T16" s="7" t="n">
        <v>67.24938</v>
      </c>
      <c r="U16" s="7" t="n">
        <v>71.55311999999999</v>
      </c>
      <c r="V16" s="7" t="n">
        <v>69.06627999999999</v>
      </c>
      <c r="W16" s="7" t="n">
        <v>74.81082000000001</v>
      </c>
      <c r="X16" s="7" t="n">
        <v>77.43200999999999</v>
      </c>
      <c r="Y16" s="7" t="n">
        <v>77.49368</v>
      </c>
      <c r="Z16" s="7" t="n">
        <v>77.31878999999999</v>
      </c>
      <c r="AA16" s="7" t="n">
        <v>88.59457</v>
      </c>
      <c r="AB16" s="7" t="n">
        <v>89.09941000000001</v>
      </c>
      <c r="AC16" s="7" t="n">
        <v>82.81588000000001</v>
      </c>
      <c r="AD16" s="7" t="n">
        <v>80.98841</v>
      </c>
      <c r="AE16" s="7" t="n">
        <v>80.06297000000001</v>
      </c>
      <c r="AF16" s="7" t="n">
        <v>80.59341000000001</v>
      </c>
      <c r="AG16" s="7" t="n">
        <v>83.99417</v>
      </c>
      <c r="AH16" s="7" t="n">
        <v>83.41047999999999</v>
      </c>
      <c r="AI16" s="7" t="n">
        <v>94.97588</v>
      </c>
      <c r="AJ16" s="7" t="n">
        <v>88.09481</v>
      </c>
      <c r="AK16" s="7" t="n">
        <v>90.02006</v>
      </c>
      <c r="AL16" s="7" t="n">
        <v>89.75172999999999</v>
      </c>
      <c r="AM16" s="7" t="n">
        <v>106.77464</v>
      </c>
      <c r="AN16" s="7" t="n">
        <v>104.48856</v>
      </c>
      <c r="AO16" s="7" t="n">
        <v>110.14358</v>
      </c>
    </row>
    <row r="17">
      <c r="A17" s="6" t="inlineStr">
        <is>
          <t>acct_1000</t>
        </is>
      </c>
      <c r="B17" s="6" t="inlineStr">
        <is>
          <t>Cash and cash equivalents</t>
        </is>
      </c>
      <c r="C17" s="6" t="inlineStr">
        <is>
          <t>BS</t>
        </is>
      </c>
      <c r="D17" s="6" t="inlineStr">
        <is>
          <t>Assets</t>
        </is>
      </c>
      <c r="E17" s="6" t="inlineStr">
        <is>
          <t>Current Assets</t>
        </is>
      </c>
      <c r="F17" s="7" t="n">
        <v>41.0237</v>
      </c>
      <c r="G17" s="7" t="n">
        <v>39.55706</v>
      </c>
      <c r="H17" s="7" t="n">
        <v>41.65114</v>
      </c>
      <c r="I17" s="7" t="n">
        <v>42.75686</v>
      </c>
      <c r="J17" s="7" t="n">
        <v>40.81207</v>
      </c>
      <c r="K17" s="7" t="n">
        <v>46.20907</v>
      </c>
      <c r="L17" s="7" t="n">
        <v>44.1631</v>
      </c>
      <c r="M17" s="7" t="n">
        <v>42.71975</v>
      </c>
      <c r="N17" s="7" t="n">
        <v>45.43074</v>
      </c>
      <c r="O17" s="7" t="n">
        <v>48.98891</v>
      </c>
      <c r="P17" s="7" t="n">
        <v>790.0230300000001</v>
      </c>
      <c r="Q17" s="7" t="n">
        <v>597.7594</v>
      </c>
      <c r="R17" s="7" t="n">
        <v>1776.54104</v>
      </c>
      <c r="S17" s="7" t="n">
        <v>2119.57837</v>
      </c>
      <c r="T17" s="7" t="n">
        <v>2783.98556</v>
      </c>
      <c r="U17" s="7" t="n">
        <v>2889.53326</v>
      </c>
      <c r="V17" s="7" t="n">
        <v>3539.30377</v>
      </c>
      <c r="W17" s="7" t="n">
        <v>3655.46708</v>
      </c>
      <c r="X17" s="7" t="n">
        <v>4442.62442</v>
      </c>
      <c r="Y17" s="7" t="n">
        <v>4272.56225</v>
      </c>
      <c r="Z17" s="7" t="n">
        <v>5042.78054</v>
      </c>
      <c r="AA17" s="7" t="n">
        <v>5840.21555</v>
      </c>
      <c r="AB17" s="7" t="n">
        <v>5841.4812</v>
      </c>
      <c r="AC17" s="7" t="n">
        <v>7373.2155</v>
      </c>
      <c r="AD17" s="7" t="n">
        <v>7460.901269999999</v>
      </c>
      <c r="AE17" s="7" t="n">
        <v>8124.17274</v>
      </c>
      <c r="AF17" s="7" t="n">
        <v>8483.836439999999</v>
      </c>
      <c r="AG17" s="7" t="n">
        <v>9180.881429999999</v>
      </c>
      <c r="AH17" s="7" t="n">
        <v>9134.46019</v>
      </c>
      <c r="AI17" s="7" t="n">
        <v>10236.0067</v>
      </c>
      <c r="AJ17" s="7" t="n">
        <v>10739.49883</v>
      </c>
      <c r="AK17" s="7" t="n">
        <v>10865.23063</v>
      </c>
      <c r="AL17" s="7" t="n">
        <v>11564.41484</v>
      </c>
      <c r="AM17" s="7" t="n">
        <v>11204.13305</v>
      </c>
      <c r="AN17" s="7" t="n">
        <v>12901.04155</v>
      </c>
      <c r="AO17" s="7" t="n">
        <v>14066.2359</v>
      </c>
    </row>
    <row r="18">
      <c r="A18" s="6" t="inlineStr">
        <is>
          <t>acct_1100</t>
        </is>
      </c>
      <c r="B18" s="6" t="inlineStr">
        <is>
          <t>Accounts receivable</t>
        </is>
      </c>
      <c r="C18" s="6" t="inlineStr">
        <is>
          <t>BS</t>
        </is>
      </c>
      <c r="D18" s="6" t="inlineStr">
        <is>
          <t>Assets</t>
        </is>
      </c>
      <c r="E18" s="6" t="inlineStr">
        <is>
          <t>Current Assets</t>
        </is>
      </c>
      <c r="F18" s="7" t="n">
        <v>2859.86761</v>
      </c>
      <c r="G18" s="7" t="n">
        <v>3284.30242</v>
      </c>
      <c r="H18" s="7" t="n">
        <v>2780.94147</v>
      </c>
      <c r="I18" s="7" t="n">
        <v>2960.21909</v>
      </c>
      <c r="J18" s="7" t="n">
        <v>3381.77701</v>
      </c>
      <c r="K18" s="7" t="n">
        <v>3623.14416</v>
      </c>
      <c r="L18" s="7" t="n">
        <v>3167.5042</v>
      </c>
      <c r="M18" s="7" t="n">
        <v>2895.57818</v>
      </c>
      <c r="N18" s="7" t="n">
        <v>3777.88855</v>
      </c>
      <c r="O18" s="7" t="n">
        <v>3683.07853</v>
      </c>
      <c r="P18" s="7" t="n">
        <v>3457.88289</v>
      </c>
      <c r="Q18" s="7" t="n">
        <v>3950.09546</v>
      </c>
      <c r="R18" s="7" t="n">
        <v>2935.32274</v>
      </c>
      <c r="S18" s="7" t="n">
        <v>3115.59604</v>
      </c>
      <c r="T18" s="7" t="n">
        <v>3049.85876</v>
      </c>
      <c r="U18" s="7" t="n">
        <v>3484.45639</v>
      </c>
      <c r="V18" s="7" t="n">
        <v>3388.05069</v>
      </c>
      <c r="W18" s="7" t="n">
        <v>3591.19233</v>
      </c>
      <c r="X18" s="7" t="n">
        <v>3566.59866</v>
      </c>
      <c r="Y18" s="7" t="n">
        <v>4162.72142</v>
      </c>
      <c r="Z18" s="7" t="n">
        <v>3804.97201</v>
      </c>
      <c r="AA18" s="7" t="n">
        <v>4271.64296</v>
      </c>
      <c r="AB18" s="7" t="n">
        <v>4900.90637</v>
      </c>
      <c r="AC18" s="7" t="n">
        <v>3750.47966</v>
      </c>
      <c r="AD18" s="7" t="n">
        <v>3814.69761</v>
      </c>
      <c r="AE18" s="7" t="n">
        <v>4032.36124</v>
      </c>
      <c r="AF18" s="7" t="n">
        <v>4215.050450000001</v>
      </c>
      <c r="AG18" s="7" t="n">
        <v>4121.44168</v>
      </c>
      <c r="AH18" s="7" t="n">
        <v>4531.51754</v>
      </c>
      <c r="AI18" s="7" t="n">
        <v>4352.5173</v>
      </c>
      <c r="AJ18" s="7" t="n">
        <v>4449.57704</v>
      </c>
      <c r="AK18" s="7" t="n">
        <v>4758.999599999999</v>
      </c>
      <c r="AL18" s="7" t="n">
        <v>4434.02778</v>
      </c>
      <c r="AM18" s="7" t="n">
        <v>5913.684730000001</v>
      </c>
      <c r="AN18" s="7" t="n">
        <v>5286.7415</v>
      </c>
      <c r="AO18" s="7" t="n">
        <v>4983.244900000001</v>
      </c>
    </row>
    <row r="19">
      <c r="A19" s="6" t="inlineStr">
        <is>
          <t>acct_prepaid</t>
        </is>
      </c>
      <c r="B19" s="6" t="inlineStr">
        <is>
          <t>Prepaid expenses</t>
        </is>
      </c>
      <c r="C19" s="6" t="inlineStr">
        <is>
          <t>BS</t>
        </is>
      </c>
      <c r="D19" s="6" t="inlineStr">
        <is>
          <t>Assets</t>
        </is>
      </c>
      <c r="E19" s="6" t="inlineStr">
        <is>
          <t>Current Assets</t>
        </is>
      </c>
      <c r="F19" s="7" t="n">
        <v>41.0237</v>
      </c>
      <c r="G19" s="7" t="n">
        <v>39.55706</v>
      </c>
      <c r="H19" s="7" t="n">
        <v>41.65114</v>
      </c>
      <c r="I19" s="7" t="n">
        <v>42.75686</v>
      </c>
      <c r="J19" s="7" t="n">
        <v>40.81207</v>
      </c>
      <c r="K19" s="7" t="n">
        <v>46.20907</v>
      </c>
      <c r="L19" s="7" t="n">
        <v>44.1631</v>
      </c>
      <c r="M19" s="7" t="n">
        <v>42.71975</v>
      </c>
      <c r="N19" s="7" t="n">
        <v>45.43074</v>
      </c>
      <c r="O19" s="7" t="n">
        <v>48.98891</v>
      </c>
      <c r="P19" s="7" t="n">
        <v>48.32124</v>
      </c>
      <c r="Q19" s="7" t="n">
        <v>52.58924</v>
      </c>
      <c r="R19" s="7" t="n">
        <v>42.87799</v>
      </c>
      <c r="S19" s="7" t="n">
        <v>42.29151</v>
      </c>
      <c r="T19" s="7" t="n">
        <v>44.83292</v>
      </c>
      <c r="U19" s="7" t="n">
        <v>47.70208</v>
      </c>
      <c r="V19" s="7" t="n">
        <v>46.04419</v>
      </c>
      <c r="W19" s="7" t="n">
        <v>49.87388</v>
      </c>
      <c r="X19" s="7" t="n">
        <v>51.62134</v>
      </c>
      <c r="Y19" s="7" t="n">
        <v>51.66245</v>
      </c>
      <c r="Z19" s="7" t="n">
        <v>51.54586</v>
      </c>
      <c r="AA19" s="7" t="n">
        <v>59.06304</v>
      </c>
      <c r="AB19" s="7" t="n">
        <v>59.39961</v>
      </c>
      <c r="AC19" s="7" t="n">
        <v>55.21059</v>
      </c>
      <c r="AD19" s="7" t="n">
        <v>53.99228</v>
      </c>
      <c r="AE19" s="7" t="n">
        <v>53.37531</v>
      </c>
      <c r="AF19" s="7" t="n">
        <v>53.72894</v>
      </c>
      <c r="AG19" s="7" t="n">
        <v>55.99612</v>
      </c>
      <c r="AH19" s="7" t="n">
        <v>55.60698</v>
      </c>
      <c r="AI19" s="7" t="n">
        <v>63.31726</v>
      </c>
      <c r="AJ19" s="7" t="n">
        <v>58.72987999999999</v>
      </c>
      <c r="AK19" s="7" t="n">
        <v>60.01337</v>
      </c>
      <c r="AL19" s="7" t="n">
        <v>59.83449</v>
      </c>
      <c r="AM19" s="7" t="n">
        <v>71.18310000000001</v>
      </c>
      <c r="AN19" s="7" t="n">
        <v>69.65903999999999</v>
      </c>
      <c r="AO19" s="7" t="n">
        <v>73.42905</v>
      </c>
    </row>
    <row r="20">
      <c r="A20" s="6" t="inlineStr">
        <is>
          <t>acct_fixed_assets</t>
        </is>
      </c>
      <c r="B20" s="6" t="inlineStr">
        <is>
          <t>Fixed assets, gross</t>
        </is>
      </c>
      <c r="C20" s="6" t="inlineStr">
        <is>
          <t>BS</t>
        </is>
      </c>
      <c r="D20" s="6" t="inlineStr">
        <is>
          <t>Assets</t>
        </is>
      </c>
      <c r="E20" s="6" t="inlineStr">
        <is>
          <t>Non-current Assets</t>
        </is>
      </c>
      <c r="F20" s="7" t="n">
        <v>3545.58897</v>
      </c>
      <c r="G20" s="7" t="n">
        <v>3552.68014</v>
      </c>
      <c r="H20" s="7" t="n">
        <v>3559.77132</v>
      </c>
      <c r="I20" s="7" t="n">
        <v>3566.8625</v>
      </c>
      <c r="J20" s="7" t="n">
        <v>3573.95368</v>
      </c>
      <c r="K20" s="7" t="n">
        <v>3581.04486</v>
      </c>
      <c r="L20" s="7" t="n">
        <v>3588.13603</v>
      </c>
      <c r="M20" s="7" t="n">
        <v>3595.22721</v>
      </c>
      <c r="N20" s="7" t="n">
        <v>3602.31839</v>
      </c>
      <c r="O20" s="7" t="n">
        <v>3609.40957</v>
      </c>
      <c r="P20" s="7" t="n">
        <v>3616.50075</v>
      </c>
      <c r="Q20" s="7" t="n">
        <v>3623.59192</v>
      </c>
      <c r="R20" s="7" t="n">
        <v>3630.6831</v>
      </c>
      <c r="S20" s="7" t="n">
        <v>3637.77428</v>
      </c>
      <c r="T20" s="7" t="n">
        <v>3644.86546</v>
      </c>
      <c r="U20" s="7" t="n">
        <v>3651.95663</v>
      </c>
      <c r="V20" s="7" t="n">
        <v>3659.04781</v>
      </c>
      <c r="W20" s="7" t="n">
        <v>3666.13899</v>
      </c>
      <c r="X20" s="7" t="n">
        <v>3673.23017</v>
      </c>
      <c r="Y20" s="7" t="n">
        <v>3680.32135</v>
      </c>
      <c r="Z20" s="7" t="n">
        <v>3687.41252</v>
      </c>
      <c r="AA20" s="7" t="n">
        <v>3694.5037</v>
      </c>
      <c r="AB20" s="7" t="n">
        <v>3701.59488</v>
      </c>
      <c r="AC20" s="7" t="n">
        <v>3708.68606</v>
      </c>
      <c r="AD20" s="7" t="n">
        <v>3715.77724</v>
      </c>
      <c r="AE20" s="7" t="n">
        <v>3722.86841</v>
      </c>
      <c r="AF20" s="7" t="n">
        <v>3729.95959</v>
      </c>
      <c r="AG20" s="7" t="n">
        <v>3737.05077</v>
      </c>
      <c r="AH20" s="7" t="n">
        <v>3744.14195</v>
      </c>
      <c r="AI20" s="7" t="n">
        <v>3751.23313</v>
      </c>
      <c r="AJ20" s="7" t="n">
        <v>3758.3243</v>
      </c>
      <c r="AK20" s="7" t="n">
        <v>3765.41548</v>
      </c>
      <c r="AL20" s="7" t="n">
        <v>3772.50666</v>
      </c>
      <c r="AM20" s="7" t="n">
        <v>3779.59784</v>
      </c>
      <c r="AN20" s="7" t="n">
        <v>3786.68902</v>
      </c>
      <c r="AO20" s="7" t="n">
        <v>3793.78019</v>
      </c>
    </row>
    <row r="21">
      <c r="A21" s="6" t="inlineStr">
        <is>
          <t>acct_accum_depr</t>
        </is>
      </c>
      <c r="B21" s="6" t="inlineStr">
        <is>
          <t>Accumulated depreciation</t>
        </is>
      </c>
      <c r="C21" s="6" t="inlineStr">
        <is>
          <t>BS</t>
        </is>
      </c>
      <c r="D21" s="6" t="inlineStr">
        <is>
          <t>Assets</t>
        </is>
      </c>
      <c r="E21" s="6" t="inlineStr">
        <is>
          <t>Non-current Assets</t>
        </is>
      </c>
      <c r="F21" s="7" t="n">
        <v>-29.54657</v>
      </c>
      <c r="G21" s="7" t="n">
        <v>-59.21134</v>
      </c>
      <c r="H21" s="7" t="n">
        <v>-88.99428</v>
      </c>
      <c r="I21" s="7" t="n">
        <v>-118.89542</v>
      </c>
      <c r="J21" s="7" t="n">
        <v>-148.91474</v>
      </c>
      <c r="K21" s="7" t="n">
        <v>-179.05224</v>
      </c>
      <c r="L21" s="7" t="n">
        <v>-209.30794</v>
      </c>
      <c r="M21" s="7" t="n">
        <v>-239.68181</v>
      </c>
      <c r="N21" s="7" t="n">
        <v>-270.17388</v>
      </c>
      <c r="O21" s="7" t="n">
        <v>-300.78413</v>
      </c>
      <c r="P21" s="7" t="n">
        <v>-331.51257</v>
      </c>
      <c r="Q21" s="7" t="n">
        <v>-362.35919</v>
      </c>
      <c r="R21" s="7" t="n">
        <v>-393.324</v>
      </c>
      <c r="S21" s="7" t="n">
        <v>-424.407</v>
      </c>
      <c r="T21" s="7" t="n">
        <v>-455.60818</v>
      </c>
      <c r="U21" s="7" t="n">
        <v>-486.92755</v>
      </c>
      <c r="V21" s="7" t="n">
        <v>-518.36511</v>
      </c>
      <c r="W21" s="7" t="n">
        <v>-549.92085</v>
      </c>
      <c r="X21" s="7" t="n">
        <v>-581.59478</v>
      </c>
      <c r="Y21" s="7" t="n">
        <v>-613.38689</v>
      </c>
      <c r="Z21" s="7" t="n">
        <v>-645.29719</v>
      </c>
      <c r="AA21" s="7" t="n">
        <v>-677.32568</v>
      </c>
      <c r="AB21" s="7" t="n">
        <v>-709.47235</v>
      </c>
      <c r="AC21" s="7" t="n">
        <v>-741.73721</v>
      </c>
      <c r="AD21" s="7" t="n">
        <v>-774.12026</v>
      </c>
      <c r="AE21" s="7" t="n">
        <v>-806.62149</v>
      </c>
      <c r="AF21" s="7" t="n">
        <v>-839.24091</v>
      </c>
      <c r="AG21" s="7" t="n">
        <v>-871.97851</v>
      </c>
      <c r="AH21" s="7" t="n">
        <v>-904.8343000000001</v>
      </c>
      <c r="AI21" s="7" t="n">
        <v>-937.8082800000001</v>
      </c>
      <c r="AJ21" s="7" t="n">
        <v>-970.90045</v>
      </c>
      <c r="AK21" s="7" t="n">
        <v>-1004.1108</v>
      </c>
      <c r="AL21" s="7" t="n">
        <v>-1037.43933</v>
      </c>
      <c r="AM21" s="7" t="n">
        <v>-1070.88605</v>
      </c>
      <c r="AN21" s="7" t="n">
        <v>-1104.45096</v>
      </c>
      <c r="AO21" s="7" t="n">
        <v>-1138.13406</v>
      </c>
    </row>
    <row r="22">
      <c r="A22" s="6" t="inlineStr">
        <is>
          <t>acct_2000</t>
        </is>
      </c>
      <c r="B22" s="6" t="inlineStr">
        <is>
          <t>Accounts payable</t>
        </is>
      </c>
      <c r="C22" s="6" t="inlineStr">
        <is>
          <t>BS</t>
        </is>
      </c>
      <c r="D22" s="6" t="inlineStr">
        <is>
          <t>Liabilities</t>
        </is>
      </c>
      <c r="E22" s="6" t="inlineStr">
        <is>
          <t>Current Liabilities</t>
        </is>
      </c>
      <c r="F22" s="7" t="n">
        <v>-1199.68444</v>
      </c>
      <c r="G22" s="7" t="n">
        <v>-969.87409</v>
      </c>
      <c r="H22" s="7" t="n">
        <v>-1260.05462</v>
      </c>
      <c r="I22" s="7" t="n">
        <v>-1396.97815</v>
      </c>
      <c r="J22" s="7" t="n">
        <v>-981.91702</v>
      </c>
      <c r="K22" s="7" t="n">
        <v>-1272.99863</v>
      </c>
      <c r="L22" s="7" t="n">
        <v>-1393.75567</v>
      </c>
      <c r="M22" s="7" t="n">
        <v>-1161.44431</v>
      </c>
      <c r="N22" s="7" t="n">
        <v>-1447.00018</v>
      </c>
      <c r="O22" s="7" t="n">
        <v>-1266.45703</v>
      </c>
      <c r="P22" s="7" t="n">
        <v>-1558.30282</v>
      </c>
      <c r="Q22" s="7" t="n">
        <v>-1314.20608</v>
      </c>
      <c r="R22" s="7" t="n">
        <v>-1069.70258</v>
      </c>
      <c r="S22" s="7" t="n">
        <v>-1162.66779</v>
      </c>
      <c r="T22" s="7" t="n">
        <v>-1296.9658</v>
      </c>
      <c r="U22" s="7" t="n">
        <v>-1343.95042</v>
      </c>
      <c r="V22" s="7" t="n">
        <v>-1433.61609</v>
      </c>
      <c r="W22" s="7" t="n">
        <v>-1235.68448</v>
      </c>
      <c r="X22" s="7" t="n">
        <v>-1470.2771</v>
      </c>
      <c r="Y22" s="7" t="n">
        <v>-1372.97077</v>
      </c>
      <c r="Z22" s="7" t="n">
        <v>-1263.55272</v>
      </c>
      <c r="AA22" s="7" t="n">
        <v>-1910.21146</v>
      </c>
      <c r="AB22" s="7" t="n">
        <v>-1941.4691</v>
      </c>
      <c r="AC22" s="7" t="n">
        <v>-1777.38792</v>
      </c>
      <c r="AD22" s="7" t="n">
        <v>-1386.62923</v>
      </c>
      <c r="AE22" s="7" t="n">
        <v>-1728.93339</v>
      </c>
      <c r="AF22" s="7" t="n">
        <v>-1726.2129</v>
      </c>
      <c r="AG22" s="7" t="n">
        <v>-1756.83866</v>
      </c>
      <c r="AH22" s="7" t="n">
        <v>-1559.28865</v>
      </c>
      <c r="AI22" s="7" t="n">
        <v>-1821.80981</v>
      </c>
      <c r="AJ22" s="7" t="n">
        <v>-1843.37954</v>
      </c>
      <c r="AK22" s="7" t="n">
        <v>-1669.43517</v>
      </c>
      <c r="AL22" s="7" t="n">
        <v>-1440.54408</v>
      </c>
      <c r="AM22" s="7" t="n">
        <v>-1812.60098</v>
      </c>
      <c r="AN22" s="7" t="n">
        <v>-2188.45498</v>
      </c>
      <c r="AO22" s="7" t="n">
        <v>-2303.6604</v>
      </c>
    </row>
    <row r="23">
      <c r="A23" s="6" t="inlineStr">
        <is>
          <t>acct_accrued</t>
        </is>
      </c>
      <c r="B23" s="6" t="inlineStr">
        <is>
          <t>Accrued expenses</t>
        </is>
      </c>
      <c r="C23" s="6" t="inlineStr">
        <is>
          <t>BS</t>
        </is>
      </c>
      <c r="D23" s="6" t="inlineStr">
        <is>
          <t>Liabilities</t>
        </is>
      </c>
      <c r="E23" s="6" t="inlineStr">
        <is>
          <t>Current Liabilities</t>
        </is>
      </c>
      <c r="F23" s="7" t="n">
        <v>-61.53556</v>
      </c>
      <c r="G23" s="7" t="n">
        <v>-59.33558</v>
      </c>
      <c r="H23" s="7" t="n">
        <v>-62.47671</v>
      </c>
      <c r="I23" s="7" t="n">
        <v>-64.13529</v>
      </c>
      <c r="J23" s="7" t="n">
        <v>-61.2181</v>
      </c>
      <c r="K23" s="7" t="n">
        <v>-69.31361</v>
      </c>
      <c r="L23" s="7" t="n">
        <v>-66.24464999999999</v>
      </c>
      <c r="M23" s="7" t="n">
        <v>-64.07962999999999</v>
      </c>
      <c r="N23" s="7" t="n">
        <v>-68.1461</v>
      </c>
      <c r="O23" s="7" t="n">
        <v>-73.48336999999999</v>
      </c>
      <c r="P23" s="7" t="n">
        <v>-72.48185000000001</v>
      </c>
      <c r="Q23" s="7" t="n">
        <v>-78.88387</v>
      </c>
      <c r="R23" s="7" t="n">
        <v>-64.31698</v>
      </c>
      <c r="S23" s="7" t="n">
        <v>-63.43726</v>
      </c>
      <c r="T23" s="7" t="n">
        <v>-67.24938</v>
      </c>
      <c r="U23" s="7" t="n">
        <v>-71.55311999999999</v>
      </c>
      <c r="V23" s="7" t="n">
        <v>-69.06627999999999</v>
      </c>
      <c r="W23" s="7" t="n">
        <v>-74.81082000000001</v>
      </c>
      <c r="X23" s="7" t="n">
        <v>-77.43200999999999</v>
      </c>
      <c r="Y23" s="7" t="n">
        <v>-77.49368</v>
      </c>
      <c r="Z23" s="7" t="n">
        <v>-77.31878999999999</v>
      </c>
      <c r="AA23" s="7" t="n">
        <v>-88.59457</v>
      </c>
      <c r="AB23" s="7" t="n">
        <v>-89.09941000000001</v>
      </c>
      <c r="AC23" s="7" t="n">
        <v>-82.81588000000001</v>
      </c>
      <c r="AD23" s="7" t="n">
        <v>-80.98841</v>
      </c>
      <c r="AE23" s="7" t="n">
        <v>-80.06297000000001</v>
      </c>
      <c r="AF23" s="7" t="n">
        <v>-80.59341000000001</v>
      </c>
      <c r="AG23" s="7" t="n">
        <v>-83.99417</v>
      </c>
      <c r="AH23" s="7" t="n">
        <v>-83.41047999999999</v>
      </c>
      <c r="AI23" s="7" t="n">
        <v>-94.97588</v>
      </c>
      <c r="AJ23" s="7" t="n">
        <v>-88.09481</v>
      </c>
      <c r="AK23" s="7" t="n">
        <v>-90.02006</v>
      </c>
      <c r="AL23" s="7" t="n">
        <v>-89.75172999999999</v>
      </c>
      <c r="AM23" s="7" t="n">
        <v>-106.77464</v>
      </c>
      <c r="AN23" s="7" t="n">
        <v>-104.48856</v>
      </c>
      <c r="AO23" s="7" t="n">
        <v>-110.14358</v>
      </c>
    </row>
    <row r="24">
      <c r="A24" s="6" t="inlineStr">
        <is>
          <t>acct_deferred</t>
        </is>
      </c>
      <c r="B24" s="6" t="inlineStr">
        <is>
          <t>Deferred revenue</t>
        </is>
      </c>
      <c r="C24" s="6" t="inlineStr">
        <is>
          <t>BS</t>
        </is>
      </c>
      <c r="D24" s="6" t="inlineStr">
        <is>
          <t>Liabilities</t>
        </is>
      </c>
      <c r="E24" s="6" t="inlineStr">
        <is>
          <t>Current Liabilities</t>
        </is>
      </c>
      <c r="F24" s="7" t="n">
        <v>-102.55926</v>
      </c>
      <c r="G24" s="7" t="n">
        <v>-98.89264</v>
      </c>
      <c r="H24" s="7" t="n">
        <v>-104.12785</v>
      </c>
      <c r="I24" s="7" t="n">
        <v>-106.89215</v>
      </c>
      <c r="J24" s="7" t="n">
        <v>-102.03016</v>
      </c>
      <c r="K24" s="7" t="n">
        <v>-115.52268</v>
      </c>
      <c r="L24" s="7" t="n">
        <v>-110.40776</v>
      </c>
      <c r="M24" s="7" t="n">
        <v>-106.79938</v>
      </c>
      <c r="N24" s="7" t="n">
        <v>-113.57684</v>
      </c>
      <c r="O24" s="7" t="n">
        <v>-122.47229</v>
      </c>
      <c r="P24" s="7" t="n">
        <v>-120.80309</v>
      </c>
      <c r="Q24" s="7" t="n">
        <v>-131.47311</v>
      </c>
      <c r="R24" s="7" t="n">
        <v>-107.19496</v>
      </c>
      <c r="S24" s="7" t="n">
        <v>-105.72877</v>
      </c>
      <c r="T24" s="7" t="n">
        <v>-112.08229</v>
      </c>
      <c r="U24" s="7" t="n">
        <v>-119.25519</v>
      </c>
      <c r="V24" s="7" t="n">
        <v>-115.11047</v>
      </c>
      <c r="W24" s="7" t="n">
        <v>-124.6847</v>
      </c>
      <c r="X24" s="7" t="n">
        <v>-129.05335</v>
      </c>
      <c r="Y24" s="7" t="n">
        <v>-129.15613</v>
      </c>
      <c r="Z24" s="7" t="n">
        <v>-128.86465</v>
      </c>
      <c r="AA24" s="7" t="n">
        <v>-147.65761</v>
      </c>
      <c r="AB24" s="7" t="n">
        <v>-148.49902</v>
      </c>
      <c r="AC24" s="7" t="n">
        <v>-138.02646</v>
      </c>
      <c r="AD24" s="7" t="n">
        <v>-134.98069</v>
      </c>
      <c r="AE24" s="7" t="n">
        <v>-133.43828</v>
      </c>
      <c r="AF24" s="7" t="n">
        <v>-134.32235</v>
      </c>
      <c r="AG24" s="7" t="n">
        <v>-139.99029</v>
      </c>
      <c r="AH24" s="7" t="n">
        <v>-139.01746</v>
      </c>
      <c r="AI24" s="7" t="n">
        <v>-158.29314</v>
      </c>
      <c r="AJ24" s="7" t="n">
        <v>-146.82469</v>
      </c>
      <c r="AK24" s="7" t="n">
        <v>-150.03343</v>
      </c>
      <c r="AL24" s="7" t="n">
        <v>-149.58621</v>
      </c>
      <c r="AM24" s="7" t="n">
        <v>-177.95774</v>
      </c>
      <c r="AN24" s="7" t="n">
        <v>-174.14759</v>
      </c>
      <c r="AO24" s="7" t="n">
        <v>-183.57263</v>
      </c>
    </row>
    <row r="25">
      <c r="A25" s="6" t="inlineStr">
        <is>
          <t>acct_2500</t>
        </is>
      </c>
      <c r="B25" s="6" t="inlineStr">
        <is>
          <t>Long-term liabilities</t>
        </is>
      </c>
      <c r="C25" s="6" t="inlineStr">
        <is>
          <t>BS</t>
        </is>
      </c>
      <c r="D25" s="6" t="inlineStr">
        <is>
          <t>Liabilities</t>
        </is>
      </c>
      <c r="E25" s="6" t="inlineStr">
        <is>
          <t>Non-current Liabilities</t>
        </is>
      </c>
      <c r="F25" s="7" t="n">
        <v>-3516.43642</v>
      </c>
      <c r="G25" s="7" t="n">
        <v>-3769.31571</v>
      </c>
      <c r="H25" s="7" t="n">
        <v>-2546.96081</v>
      </c>
      <c r="I25" s="7" t="n">
        <v>-2151.68982</v>
      </c>
      <c r="J25" s="7" t="n">
        <v>-2575.43388</v>
      </c>
      <c r="K25" s="7" t="n">
        <v>-2045.96155</v>
      </c>
      <c r="L25" s="7" t="n">
        <v>-1024.31804</v>
      </c>
      <c r="M25" s="7" t="n">
        <v>-552.06175</v>
      </c>
      <c r="N25" s="7" t="n">
        <v>-681.5868</v>
      </c>
      <c r="O25" s="7" t="n">
        <v>-263.94147</v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  <c r="V25" s="7" t="n">
        <v/>
      </c>
      <c r="W25" s="7" t="n">
        <v/>
      </c>
      <c r="X25" s="7" t="n">
        <v/>
      </c>
      <c r="Y25" s="7" t="n">
        <v/>
      </c>
      <c r="Z25" s="7" t="n">
        <v/>
      </c>
      <c r="AA25" s="7" t="n">
        <v/>
      </c>
      <c r="AB25" s="7" t="n">
        <v/>
      </c>
      <c r="AC25" s="7" t="n">
        <v/>
      </c>
      <c r="AD25" s="7" t="n">
        <v/>
      </c>
      <c r="AE25" s="7" t="n">
        <v/>
      </c>
      <c r="AF25" s="7" t="n">
        <v/>
      </c>
      <c r="AG25" s="7" t="n">
        <v/>
      </c>
      <c r="AH25" s="7" t="n">
        <v/>
      </c>
      <c r="AI25" s="7" t="n">
        <v/>
      </c>
      <c r="AJ25" s="7" t="n">
        <v/>
      </c>
      <c r="AK25" s="7" t="n">
        <v/>
      </c>
      <c r="AL25" s="7" t="n">
        <v/>
      </c>
      <c r="AM25" s="7" t="n">
        <v/>
      </c>
      <c r="AN25" s="7" t="n">
        <v/>
      </c>
      <c r="AO25" s="7" t="n">
        <v/>
      </c>
    </row>
    <row r="26">
      <c r="A26" s="6" t="inlineStr">
        <is>
          <t>acct_3000</t>
        </is>
      </c>
      <c r="B26" s="6" t="inlineStr">
        <is>
          <t>Common stock</t>
        </is>
      </c>
      <c r="C26" s="6" t="inlineStr">
        <is>
          <t>BS</t>
        </is>
      </c>
      <c r="D26" s="6" t="inlineStr">
        <is>
          <t>Equity</t>
        </is>
      </c>
      <c r="E26" s="6" t="inlineStr">
        <is>
          <t>Equity</t>
        </is>
      </c>
      <c r="F26" s="7" t="n">
        <v>-1181.86299</v>
      </c>
      <c r="G26" s="7" t="n">
        <v>-1181.86299</v>
      </c>
      <c r="H26" s="7" t="n">
        <v>-1181.86299</v>
      </c>
      <c r="I26" s="7" t="n">
        <v>-1181.86299</v>
      </c>
      <c r="J26" s="7" t="n">
        <v>-1181.86299</v>
      </c>
      <c r="K26" s="7" t="n">
        <v>-1181.86299</v>
      </c>
      <c r="L26" s="7" t="n">
        <v>-1181.86299</v>
      </c>
      <c r="M26" s="7" t="n">
        <v>-1181.86299</v>
      </c>
      <c r="N26" s="7" t="n">
        <v>-1181.86299</v>
      </c>
      <c r="O26" s="7" t="n">
        <v>-1181.86299</v>
      </c>
      <c r="P26" s="7" t="n">
        <v>-1181.86299</v>
      </c>
      <c r="Q26" s="7" t="n">
        <v>-1181.86299</v>
      </c>
      <c r="R26" s="7" t="n">
        <v>-1181.86299</v>
      </c>
      <c r="S26" s="7" t="n">
        <v>-1181.86299</v>
      </c>
      <c r="T26" s="7" t="n">
        <v>-1181.86299</v>
      </c>
      <c r="U26" s="7" t="n">
        <v>-1181.86299</v>
      </c>
      <c r="V26" s="7" t="n">
        <v>-1181.86299</v>
      </c>
      <c r="W26" s="7" t="n">
        <v>-1181.86299</v>
      </c>
      <c r="X26" s="7" t="n">
        <v>-1181.86299</v>
      </c>
      <c r="Y26" s="7" t="n">
        <v>-1181.86299</v>
      </c>
      <c r="Z26" s="7" t="n">
        <v>-1181.86299</v>
      </c>
      <c r="AA26" s="7" t="n">
        <v>-1181.86299</v>
      </c>
      <c r="AB26" s="7" t="n">
        <v>-1181.86299</v>
      </c>
      <c r="AC26" s="7" t="n">
        <v>-1181.86299</v>
      </c>
      <c r="AD26" s="7" t="n">
        <v>-1181.86299</v>
      </c>
      <c r="AE26" s="7" t="n">
        <v>-1181.86299</v>
      </c>
      <c r="AF26" s="7" t="n">
        <v>-1181.86299</v>
      </c>
      <c r="AG26" s="7" t="n">
        <v>-1181.86299</v>
      </c>
      <c r="AH26" s="7" t="n">
        <v>-1181.86299</v>
      </c>
      <c r="AI26" s="7" t="n">
        <v>-1181.86299</v>
      </c>
      <c r="AJ26" s="7" t="n">
        <v>-1181.86299</v>
      </c>
      <c r="AK26" s="7" t="n">
        <v>-1181.86299</v>
      </c>
      <c r="AL26" s="7" t="n">
        <v>-1181.86299</v>
      </c>
      <c r="AM26" s="7" t="n">
        <v>-1181.86299</v>
      </c>
      <c r="AN26" s="7" t="n">
        <v>-1181.86299</v>
      </c>
      <c r="AO26" s="7" t="n">
        <v>-1181.86299</v>
      </c>
    </row>
    <row r="27">
      <c r="A27" s="6" t="inlineStr">
        <is>
          <t>acct_3200</t>
        </is>
      </c>
      <c r="B27" s="6" t="inlineStr">
        <is>
          <t>Retained earnings</t>
        </is>
      </c>
      <c r="C27" s="6" t="inlineStr">
        <is>
          <t>BS</t>
        </is>
      </c>
      <c r="D27" s="6" t="inlineStr">
        <is>
          <t>Equity</t>
        </is>
      </c>
      <c r="E27" s="6" t="inlineStr">
        <is>
          <t>Equity</t>
        </is>
      </c>
      <c r="F27" s="7" t="n">
        <v>-395.87874</v>
      </c>
      <c r="G27" s="7" t="n">
        <v>-777.60433</v>
      </c>
      <c r="H27" s="7" t="n">
        <v>-1179.53782</v>
      </c>
      <c r="I27" s="7" t="n">
        <v>-1592.1415</v>
      </c>
      <c r="J27" s="7" t="n">
        <v>-1985.97793</v>
      </c>
      <c r="K27" s="7" t="n">
        <v>-2431.89546</v>
      </c>
      <c r="L27" s="7" t="n">
        <v>-2858.0694</v>
      </c>
      <c r="M27" s="7" t="n">
        <v>-3270.31503</v>
      </c>
      <c r="N27" s="7" t="n">
        <v>-3708.72163</v>
      </c>
      <c r="O27" s="7" t="n">
        <v>-4181.46465</v>
      </c>
      <c r="P27" s="7" t="n">
        <v>-4647.76458</v>
      </c>
      <c r="Q27" s="7" t="n">
        <v>-5155.25079</v>
      </c>
      <c r="R27" s="7" t="n">
        <v>-5569.023349999999</v>
      </c>
      <c r="S27" s="7" t="n">
        <v>-5977.13639</v>
      </c>
      <c r="T27" s="7" t="n">
        <v>-6409.77405</v>
      </c>
      <c r="U27" s="7" t="n">
        <v>-6870.099099999999</v>
      </c>
      <c r="V27" s="7" t="n">
        <v>-7314.42552</v>
      </c>
      <c r="W27" s="7" t="n">
        <v>-7795.70845</v>
      </c>
      <c r="X27" s="7" t="n">
        <v>-8293.854370000001</v>
      </c>
      <c r="Y27" s="7" t="n">
        <v>-8792.39702</v>
      </c>
      <c r="Z27" s="7" t="n">
        <v>-9289.81458</v>
      </c>
      <c r="AA27" s="7" t="n">
        <v>-9859.772949999999</v>
      </c>
      <c r="AB27" s="7" t="n">
        <v>-10432.97919</v>
      </c>
      <c r="AC27" s="7" t="n">
        <v>-10965.76134</v>
      </c>
      <c r="AD27" s="7" t="n">
        <v>-11486.78681</v>
      </c>
      <c r="AE27" s="7" t="n">
        <v>-12001.85859</v>
      </c>
      <c r="AF27" s="7" t="n">
        <v>-12520.34286</v>
      </c>
      <c r="AG27" s="7" t="n">
        <v>-13060.70537</v>
      </c>
      <c r="AH27" s="7" t="n">
        <v>-13597.31277</v>
      </c>
      <c r="AI27" s="7" t="n">
        <v>-14208.32428</v>
      </c>
      <c r="AJ27" s="7" t="n">
        <v>-14775.06758</v>
      </c>
      <c r="AK27" s="7" t="n">
        <v>-15354.19664</v>
      </c>
      <c r="AL27" s="7" t="n">
        <v>-15931.59942</v>
      </c>
      <c r="AM27" s="7" t="n">
        <v>-16618.5163</v>
      </c>
      <c r="AN27" s="7" t="n">
        <v>-17290.72601</v>
      </c>
      <c r="AO27" s="7" t="n">
        <v>-17999.31638</v>
      </c>
    </row>
    <row r="28">
      <c r="A28" s="6" t="inlineStr">
        <is>
          <t>event_revenue_adjustment</t>
        </is>
      </c>
      <c r="B28" s="6" t="inlineStr">
        <is>
          <t>Event revenue adjustment</t>
        </is>
      </c>
      <c r="C28" s="6" t="inlineStr">
        <is>
          <t>IS</t>
        </is>
      </c>
      <c r="D28" s="6" t="inlineStr">
        <is>
          <t>Other Adjustments</t>
        </is>
      </c>
      <c r="E28" s="6" t="inlineStr">
        <is>
          <t>Event Adjustments</t>
        </is>
      </c>
      <c r="F28" s="7" t="n">
        <v>168.42933</v>
      </c>
      <c r="G28" s="7" t="n">
        <v>0</v>
      </c>
      <c r="H28" s="7" t="n">
        <v>74.63667</v>
      </c>
      <c r="I28" s="7" t="n">
        <v>0</v>
      </c>
      <c r="J28" s="7" t="n">
        <v>0</v>
      </c>
      <c r="K28" s="7" t="n">
        <v>98.79474999999999</v>
      </c>
      <c r="L28" s="7" t="n">
        <v>105.841</v>
      </c>
      <c r="M28" s="7" t="n">
        <v>105.841</v>
      </c>
      <c r="N28" s="7" t="n">
        <v>172.1425</v>
      </c>
      <c r="O28" s="7" t="n">
        <v>105.841</v>
      </c>
      <c r="P28" s="7" t="n">
        <v>105.841</v>
      </c>
      <c r="Q28" s="7" t="n">
        <v>141.63967</v>
      </c>
      <c r="R28" s="7" t="n">
        <v>141.63967</v>
      </c>
      <c r="S28" s="7" t="n">
        <v>103.48275</v>
      </c>
      <c r="T28" s="7" t="n">
        <v>141.63967</v>
      </c>
      <c r="U28" s="7" t="n">
        <v>141.63967</v>
      </c>
      <c r="V28" s="7" t="n">
        <v>141.63967</v>
      </c>
      <c r="W28" s="7" t="n">
        <v>238.72208</v>
      </c>
      <c r="X28" s="7" t="n">
        <v>370.17492</v>
      </c>
      <c r="Y28" s="7" t="n">
        <v>335.15492</v>
      </c>
      <c r="Z28" s="7" t="n">
        <v>393.92292</v>
      </c>
      <c r="AA28" s="7" t="n">
        <v>335.15492</v>
      </c>
      <c r="AB28" s="7" t="n">
        <v>367.61142</v>
      </c>
      <c r="AC28" s="7" t="n">
        <v>335.15492</v>
      </c>
      <c r="AD28" s="7" t="n">
        <v>335.15492</v>
      </c>
      <c r="AE28" s="7" t="n">
        <v>335.15492</v>
      </c>
      <c r="AF28" s="7" t="n">
        <v>416.68633</v>
      </c>
      <c r="AG28" s="7" t="n">
        <v>416.68633</v>
      </c>
      <c r="AH28" s="7" t="n">
        <v>488.43492</v>
      </c>
      <c r="AI28" s="7" t="n">
        <v>641.63533</v>
      </c>
      <c r="AJ28" s="7" t="n">
        <v>488.43492</v>
      </c>
      <c r="AK28" s="7" t="n">
        <v>488.43492</v>
      </c>
      <c r="AL28" s="7" t="n">
        <v>488.43492</v>
      </c>
      <c r="AM28" s="7" t="n">
        <v>488.43492</v>
      </c>
      <c r="AN28" s="7" t="n">
        <v>488.43492</v>
      </c>
      <c r="AO28" s="7" t="n">
        <v>488.43492</v>
      </c>
    </row>
    <row r="29">
      <c r="A29" s="6" t="inlineStr">
        <is>
          <t>event_opex_adjustment</t>
        </is>
      </c>
      <c r="B29" s="6" t="inlineStr">
        <is>
          <t>Event operating expense adjustment</t>
        </is>
      </c>
      <c r="C29" s="6" t="inlineStr">
        <is>
          <t>IS</t>
        </is>
      </c>
      <c r="D29" s="6" t="inlineStr">
        <is>
          <t>Other Adjustments</t>
        </is>
      </c>
      <c r="E29" s="6" t="inlineStr">
        <is>
          <t>Event Adjustments</t>
        </is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0" customWidth="1" min="4" max="4"/>
    <col width="24" customWidth="1" min="5" max="5"/>
    <col width="30" customWidth="1" min="6" max="6"/>
    <col width="28" customWidth="1" min="7" max="7"/>
  </cols>
  <sheetData>
    <row r="1">
      <c r="A1" s="4" t="inlineStr">
        <is>
          <t>Map | COA to Lines</t>
        </is>
      </c>
    </row>
    <row r="3">
      <c r="A3" s="8" t="inlineStr">
        <is>
          <t>Account Code</t>
        </is>
      </c>
      <c r="B3" s="8" t="inlineStr">
        <is>
          <t>Account Name</t>
        </is>
      </c>
      <c r="C3" s="8" t="inlineStr">
        <is>
          <t>Statement</t>
        </is>
      </c>
      <c r="D3" s="8" t="inlineStr">
        <is>
          <t>Level 1</t>
        </is>
      </c>
      <c r="E3" s="8" t="inlineStr">
        <is>
          <t>Level 2</t>
        </is>
      </c>
      <c r="F3" s="8" t="inlineStr">
        <is>
          <t>Mapped Line</t>
        </is>
      </c>
      <c r="G3" s="8" t="inlineStr">
        <is>
          <t>Sign Rule</t>
        </is>
      </c>
    </row>
    <row r="4">
      <c r="A4" s="6" t="inlineStr">
        <is>
          <t>acct_4000</t>
        </is>
      </c>
      <c r="B4" s="6" t="inlineStr">
        <is>
          <t>Revenue - Product A</t>
        </is>
      </c>
      <c r="C4" s="6" t="inlineStr">
        <is>
          <t>IS</t>
        </is>
      </c>
      <c r="D4" s="6" t="inlineStr">
        <is>
          <t>Revenue</t>
        </is>
      </c>
      <c r="E4" s="6" t="inlineStr">
        <is>
          <t>Core Revenue</t>
        </is>
      </c>
      <c r="F4" s="6" t="inlineStr">
        <is>
          <t>Revenue - Product A</t>
        </is>
      </c>
      <c r="G4" s="6" t="inlineStr">
        <is>
          <t>IS: invert TB sign</t>
        </is>
      </c>
    </row>
    <row r="5">
      <c r="A5" s="6" t="inlineStr">
        <is>
          <t>acct_4010</t>
        </is>
      </c>
      <c r="B5" s="6" t="inlineStr">
        <is>
          <t>Revenue - Product B</t>
        </is>
      </c>
      <c r="C5" s="6" t="inlineStr">
        <is>
          <t>IS</t>
        </is>
      </c>
      <c r="D5" s="6" t="inlineStr">
        <is>
          <t>Revenue</t>
        </is>
      </c>
      <c r="E5" s="6" t="inlineStr">
        <is>
          <t>Core Revenue</t>
        </is>
      </c>
      <c r="F5" s="6" t="inlineStr">
        <is>
          <t>Revenue - Product B</t>
        </is>
      </c>
      <c r="G5" s="6" t="inlineStr">
        <is>
          <t>IS: invert TB sign</t>
        </is>
      </c>
    </row>
    <row r="6">
      <c r="A6" s="6" t="inlineStr">
        <is>
          <t>acct_4020</t>
        </is>
      </c>
      <c r="B6" s="6" t="inlineStr">
        <is>
          <t>Revenue - Services</t>
        </is>
      </c>
      <c r="C6" s="6" t="inlineStr">
        <is>
          <t>IS</t>
        </is>
      </c>
      <c r="D6" s="6" t="inlineStr">
        <is>
          <t>Revenue</t>
        </is>
      </c>
      <c r="E6" s="6" t="inlineStr">
        <is>
          <t>Core Revenue</t>
        </is>
      </c>
      <c r="F6" s="6" t="inlineStr">
        <is>
          <t>Revenue - Services</t>
        </is>
      </c>
      <c r="G6" s="6" t="inlineStr">
        <is>
          <t>IS: invert TB sign</t>
        </is>
      </c>
    </row>
    <row r="7">
      <c r="A7" s="6" t="inlineStr">
        <is>
          <t>acct_4090</t>
        </is>
      </c>
      <c r="B7" s="6" t="inlineStr">
        <is>
          <t>Revenue - Discounts/Returns</t>
        </is>
      </c>
      <c r="C7" s="6" t="inlineStr">
        <is>
          <t>IS</t>
        </is>
      </c>
      <c r="D7" s="6" t="inlineStr">
        <is>
          <t>Revenue</t>
        </is>
      </c>
      <c r="E7" s="6" t="inlineStr">
        <is>
          <t>Core Revenue</t>
        </is>
      </c>
      <c r="F7" s="6" t="inlineStr">
        <is>
          <t>Revenue - Discounts/Returns</t>
        </is>
      </c>
      <c r="G7" s="6" t="inlineStr">
        <is>
          <t>IS: invert TB sign</t>
        </is>
      </c>
    </row>
    <row r="8">
      <c r="A8" s="6" t="inlineStr">
        <is>
          <t>acct_5000</t>
        </is>
      </c>
      <c r="B8" s="6" t="inlineStr">
        <is>
          <t>Direct materials</t>
        </is>
      </c>
      <c r="C8" s="6" t="inlineStr">
        <is>
          <t>IS</t>
        </is>
      </c>
      <c r="D8" s="6" t="inlineStr">
        <is>
          <t>Cost of Goods Sold</t>
        </is>
      </c>
      <c r="E8" s="6" t="inlineStr">
        <is>
          <t>Direct Costs</t>
        </is>
      </c>
      <c r="F8" s="6" t="inlineStr">
        <is>
          <t>Direct materials</t>
        </is>
      </c>
      <c r="G8" s="6" t="inlineStr">
        <is>
          <t>IS: invert TB sign</t>
        </is>
      </c>
    </row>
    <row r="9">
      <c r="A9" s="6" t="inlineStr">
        <is>
          <t>acct_5100</t>
        </is>
      </c>
      <c r="B9" s="6" t="inlineStr">
        <is>
          <t>Direct labor</t>
        </is>
      </c>
      <c r="C9" s="6" t="inlineStr">
        <is>
          <t>IS</t>
        </is>
      </c>
      <c r="D9" s="6" t="inlineStr">
        <is>
          <t>Cost of Goods Sold</t>
        </is>
      </c>
      <c r="E9" s="6" t="inlineStr">
        <is>
          <t>Direct Costs</t>
        </is>
      </c>
      <c r="F9" s="6" t="inlineStr">
        <is>
          <t>Direct labor</t>
        </is>
      </c>
      <c r="G9" s="6" t="inlineStr">
        <is>
          <t>IS: invert TB sign</t>
        </is>
      </c>
    </row>
    <row r="10">
      <c r="A10" s="6" t="inlineStr">
        <is>
          <t>acct_5200</t>
        </is>
      </c>
      <c r="B10" s="6" t="inlineStr">
        <is>
          <t>Freight &amp; handling</t>
        </is>
      </c>
      <c r="C10" s="6" t="inlineStr">
        <is>
          <t>IS</t>
        </is>
      </c>
      <c r="D10" s="6" t="inlineStr">
        <is>
          <t>Cost of Goods Sold</t>
        </is>
      </c>
      <c r="E10" s="6" t="inlineStr">
        <is>
          <t>Direct Costs</t>
        </is>
      </c>
      <c r="F10" s="6" t="inlineStr">
        <is>
          <t>Freight &amp; handling</t>
        </is>
      </c>
      <c r="G10" s="6" t="inlineStr">
        <is>
          <t>IS: invert TB sign</t>
        </is>
      </c>
    </row>
    <row r="11">
      <c r="A11" s="6" t="inlineStr">
        <is>
          <t>acct_5300</t>
        </is>
      </c>
      <c r="B11" s="6" t="inlineStr">
        <is>
          <t>Manufacturing overhead</t>
        </is>
      </c>
      <c r="C11" s="6" t="inlineStr">
        <is>
          <t>IS</t>
        </is>
      </c>
      <c r="D11" s="6" t="inlineStr">
        <is>
          <t>Cost of Goods Sold</t>
        </is>
      </c>
      <c r="E11" s="6" t="inlineStr">
        <is>
          <t>Direct Costs</t>
        </is>
      </c>
      <c r="F11" s="6" t="inlineStr">
        <is>
          <t>Manufacturing overhead</t>
        </is>
      </c>
      <c r="G11" s="6" t="inlineStr">
        <is>
          <t>IS: invert TB sign</t>
        </is>
      </c>
    </row>
    <row r="12">
      <c r="A12" s="6" t="inlineStr">
        <is>
          <t>acct_6000</t>
        </is>
      </c>
      <c r="B12" s="6" t="inlineStr">
        <is>
          <t>Payroll expense</t>
        </is>
      </c>
      <c r="C12" s="6" t="inlineStr">
        <is>
          <t>IS</t>
        </is>
      </c>
      <c r="D12" s="6" t="inlineStr">
        <is>
          <t>Operating Expenses</t>
        </is>
      </c>
      <c r="E12" s="6" t="inlineStr">
        <is>
          <t>Payroll</t>
        </is>
      </c>
      <c r="F12" s="6" t="inlineStr">
        <is>
          <t>Payroll expense</t>
        </is>
      </c>
      <c r="G12" s="6" t="inlineStr">
        <is>
          <t>IS: invert TB sign</t>
        </is>
      </c>
    </row>
    <row r="13">
      <c r="A13" s="6" t="inlineStr">
        <is>
          <t>acct_6100</t>
        </is>
      </c>
      <c r="B13" s="6" t="inlineStr">
        <is>
          <t>Marketing expense</t>
        </is>
      </c>
      <c r="C13" s="6" t="inlineStr">
        <is>
          <t>IS</t>
        </is>
      </c>
      <c r="D13" s="6" t="inlineStr">
        <is>
          <t>Operating Expenses</t>
        </is>
      </c>
      <c r="E13" s="6" t="inlineStr">
        <is>
          <t>Marketing</t>
        </is>
      </c>
      <c r="F13" s="6" t="inlineStr">
        <is>
          <t>Marketing expense</t>
        </is>
      </c>
      <c r="G13" s="6" t="inlineStr">
        <is>
          <t>IS: invert TB sign</t>
        </is>
      </c>
    </row>
    <row r="14">
      <c r="A14" s="6" t="inlineStr">
        <is>
          <t>acct_6200</t>
        </is>
      </c>
      <c r="B14" s="6" t="inlineStr">
        <is>
          <t>General and administrative</t>
        </is>
      </c>
      <c r="C14" s="6" t="inlineStr">
        <is>
          <t>IS</t>
        </is>
      </c>
      <c r="D14" s="6" t="inlineStr">
        <is>
          <t>Operating Expenses</t>
        </is>
      </c>
      <c r="E14" s="6" t="inlineStr">
        <is>
          <t>G&amp;A</t>
        </is>
      </c>
      <c r="F14" s="6" t="inlineStr">
        <is>
          <t>General and administrative</t>
        </is>
      </c>
      <c r="G14" s="6" t="inlineStr">
        <is>
          <t>IS: invert TB sign</t>
        </is>
      </c>
    </row>
    <row r="15">
      <c r="A15" s="6" t="inlineStr">
        <is>
          <t>acct_6300</t>
        </is>
      </c>
      <c r="B15" s="6" t="inlineStr">
        <is>
          <t>Research and development</t>
        </is>
      </c>
      <c r="C15" s="6" t="inlineStr">
        <is>
          <t>IS</t>
        </is>
      </c>
      <c r="D15" s="6" t="inlineStr">
        <is>
          <t>Operating Expenses</t>
        </is>
      </c>
      <c r="E15" s="6" t="inlineStr">
        <is>
          <t>R&amp;D</t>
        </is>
      </c>
      <c r="F15" s="6" t="inlineStr">
        <is>
          <t>Research and development</t>
        </is>
      </c>
      <c r="G15" s="6" t="inlineStr">
        <is>
          <t>IS: invert TB sign</t>
        </is>
      </c>
    </row>
    <row r="16">
      <c r="A16" s="6" t="inlineStr">
        <is>
          <t>acct_6400</t>
        </is>
      </c>
      <c r="B16" s="6" t="inlineStr">
        <is>
          <t>Depreciation &amp; amortization</t>
        </is>
      </c>
      <c r="C16" s="6" t="inlineStr">
        <is>
          <t>IS</t>
        </is>
      </c>
      <c r="D16" s="6" t="inlineStr">
        <is>
          <t>Operating Expenses</t>
        </is>
      </c>
      <c r="E16" s="6" t="inlineStr">
        <is>
          <t>D&amp;A</t>
        </is>
      </c>
      <c r="F16" s="6" t="inlineStr">
        <is>
          <t>Depreciation &amp; amortization</t>
        </is>
      </c>
      <c r="G16" s="6" t="inlineStr">
        <is>
          <t>IS: invert TB sign</t>
        </is>
      </c>
    </row>
    <row r="17">
      <c r="A17" s="6" t="inlineStr">
        <is>
          <t>acct_1000</t>
        </is>
      </c>
      <c r="B17" s="6" t="inlineStr">
        <is>
          <t>Cash and cash equivalents</t>
        </is>
      </c>
      <c r="C17" s="6" t="inlineStr">
        <is>
          <t>BS</t>
        </is>
      </c>
      <c r="D17" s="6" t="inlineStr">
        <is>
          <t>Assets</t>
        </is>
      </c>
      <c r="E17" s="6" t="inlineStr">
        <is>
          <t>Current Assets</t>
        </is>
      </c>
      <c r="F17" s="6" t="inlineStr">
        <is>
          <t>Cash and cash equivalents</t>
        </is>
      </c>
      <c r="G17" s="6" t="inlineStr">
        <is>
          <t>BS: retain TB sign</t>
        </is>
      </c>
    </row>
    <row r="18">
      <c r="A18" s="6" t="inlineStr">
        <is>
          <t>acct_1100</t>
        </is>
      </c>
      <c r="B18" s="6" t="inlineStr">
        <is>
          <t>Accounts receivable</t>
        </is>
      </c>
      <c r="C18" s="6" t="inlineStr">
        <is>
          <t>BS</t>
        </is>
      </c>
      <c r="D18" s="6" t="inlineStr">
        <is>
          <t>Assets</t>
        </is>
      </c>
      <c r="E18" s="6" t="inlineStr">
        <is>
          <t>Current Assets</t>
        </is>
      </c>
      <c r="F18" s="6" t="inlineStr">
        <is>
          <t>Accounts receivable</t>
        </is>
      </c>
      <c r="G18" s="6" t="inlineStr">
        <is>
          <t>BS: retain TB sign</t>
        </is>
      </c>
    </row>
    <row r="19">
      <c r="A19" s="6" t="inlineStr">
        <is>
          <t>acct_prepaid</t>
        </is>
      </c>
      <c r="B19" s="6" t="inlineStr">
        <is>
          <t>Prepaid expenses</t>
        </is>
      </c>
      <c r="C19" s="6" t="inlineStr">
        <is>
          <t>BS</t>
        </is>
      </c>
      <c r="D19" s="6" t="inlineStr">
        <is>
          <t>Assets</t>
        </is>
      </c>
      <c r="E19" s="6" t="inlineStr">
        <is>
          <t>Current Assets</t>
        </is>
      </c>
      <c r="F19" s="6" t="inlineStr">
        <is>
          <t>Prepaid expenses</t>
        </is>
      </c>
      <c r="G19" s="6" t="inlineStr">
        <is>
          <t>BS: retain TB sign</t>
        </is>
      </c>
    </row>
    <row r="20">
      <c r="A20" s="6" t="inlineStr">
        <is>
          <t>acct_fixed_assets</t>
        </is>
      </c>
      <c r="B20" s="6" t="inlineStr">
        <is>
          <t>Fixed assets, gross</t>
        </is>
      </c>
      <c r="C20" s="6" t="inlineStr">
        <is>
          <t>BS</t>
        </is>
      </c>
      <c r="D20" s="6" t="inlineStr">
        <is>
          <t>Assets</t>
        </is>
      </c>
      <c r="E20" s="6" t="inlineStr">
        <is>
          <t>Non-current Assets</t>
        </is>
      </c>
      <c r="F20" s="6" t="inlineStr">
        <is>
          <t>Fixed assets, gross</t>
        </is>
      </c>
      <c r="G20" s="6" t="inlineStr">
        <is>
          <t>BS: retain TB sign</t>
        </is>
      </c>
    </row>
    <row r="21">
      <c r="A21" s="6" t="inlineStr">
        <is>
          <t>acct_accum_depr</t>
        </is>
      </c>
      <c r="B21" s="6" t="inlineStr">
        <is>
          <t>Accumulated depreciation</t>
        </is>
      </c>
      <c r="C21" s="6" t="inlineStr">
        <is>
          <t>BS</t>
        </is>
      </c>
      <c r="D21" s="6" t="inlineStr">
        <is>
          <t>Assets</t>
        </is>
      </c>
      <c r="E21" s="6" t="inlineStr">
        <is>
          <t>Non-current Assets</t>
        </is>
      </c>
      <c r="F21" s="6" t="inlineStr">
        <is>
          <t>Accumulated depreciation</t>
        </is>
      </c>
      <c r="G21" s="6" t="inlineStr">
        <is>
          <t>BS: retain TB sign</t>
        </is>
      </c>
    </row>
    <row r="22">
      <c r="A22" s="6" t="inlineStr">
        <is>
          <t>acct_2000</t>
        </is>
      </c>
      <c r="B22" s="6" t="inlineStr">
        <is>
          <t>Accounts payable</t>
        </is>
      </c>
      <c r="C22" s="6" t="inlineStr">
        <is>
          <t>BS</t>
        </is>
      </c>
      <c r="D22" s="6" t="inlineStr">
        <is>
          <t>Liabilities</t>
        </is>
      </c>
      <c r="E22" s="6" t="inlineStr">
        <is>
          <t>Current Liabilities</t>
        </is>
      </c>
      <c r="F22" s="6" t="inlineStr">
        <is>
          <t>Accounts payable</t>
        </is>
      </c>
      <c r="G22" s="6" t="inlineStr">
        <is>
          <t>BS: retain TB sign</t>
        </is>
      </c>
    </row>
    <row r="23">
      <c r="A23" s="6" t="inlineStr">
        <is>
          <t>acct_accrued</t>
        </is>
      </c>
      <c r="B23" s="6" t="inlineStr">
        <is>
          <t>Accrued expenses</t>
        </is>
      </c>
      <c r="C23" s="6" t="inlineStr">
        <is>
          <t>BS</t>
        </is>
      </c>
      <c r="D23" s="6" t="inlineStr">
        <is>
          <t>Liabilities</t>
        </is>
      </c>
      <c r="E23" s="6" t="inlineStr">
        <is>
          <t>Current Liabilities</t>
        </is>
      </c>
      <c r="F23" s="6" t="inlineStr">
        <is>
          <t>Accrued expenses</t>
        </is>
      </c>
      <c r="G23" s="6" t="inlineStr">
        <is>
          <t>BS: retain TB sign</t>
        </is>
      </c>
    </row>
    <row r="24">
      <c r="A24" s="6" t="inlineStr">
        <is>
          <t>acct_deferred</t>
        </is>
      </c>
      <c r="B24" s="6" t="inlineStr">
        <is>
          <t>Deferred revenue</t>
        </is>
      </c>
      <c r="C24" s="6" t="inlineStr">
        <is>
          <t>BS</t>
        </is>
      </c>
      <c r="D24" s="6" t="inlineStr">
        <is>
          <t>Liabilities</t>
        </is>
      </c>
      <c r="E24" s="6" t="inlineStr">
        <is>
          <t>Current Liabilities</t>
        </is>
      </c>
      <c r="F24" s="6" t="inlineStr">
        <is>
          <t>Deferred revenue</t>
        </is>
      </c>
      <c r="G24" s="6" t="inlineStr">
        <is>
          <t>BS: retain TB sign</t>
        </is>
      </c>
    </row>
    <row r="25">
      <c r="A25" s="6" t="inlineStr">
        <is>
          <t>acct_2500</t>
        </is>
      </c>
      <c r="B25" s="6" t="inlineStr">
        <is>
          <t>Long-term liabilities</t>
        </is>
      </c>
      <c r="C25" s="6" t="inlineStr">
        <is>
          <t>BS</t>
        </is>
      </c>
      <c r="D25" s="6" t="inlineStr">
        <is>
          <t>Liabilities</t>
        </is>
      </c>
      <c r="E25" s="6" t="inlineStr">
        <is>
          <t>Non-current Liabilities</t>
        </is>
      </c>
      <c r="F25" s="6" t="inlineStr">
        <is>
          <t>Long-term liabilities</t>
        </is>
      </c>
      <c r="G25" s="6" t="inlineStr">
        <is>
          <t>BS: retain TB sign</t>
        </is>
      </c>
    </row>
    <row r="26">
      <c r="A26" s="6" t="inlineStr">
        <is>
          <t>acct_3000</t>
        </is>
      </c>
      <c r="B26" s="6" t="inlineStr">
        <is>
          <t>Common stock</t>
        </is>
      </c>
      <c r="C26" s="6" t="inlineStr">
        <is>
          <t>BS</t>
        </is>
      </c>
      <c r="D26" s="6" t="inlineStr">
        <is>
          <t>Equity</t>
        </is>
      </c>
      <c r="E26" s="6" t="inlineStr">
        <is>
          <t>Equity</t>
        </is>
      </c>
      <c r="F26" s="6" t="inlineStr">
        <is>
          <t>Common stock</t>
        </is>
      </c>
      <c r="G26" s="6" t="inlineStr">
        <is>
          <t>BS: retain TB sign</t>
        </is>
      </c>
    </row>
    <row r="27">
      <c r="A27" s="6" t="inlineStr">
        <is>
          <t>acct_3200</t>
        </is>
      </c>
      <c r="B27" s="6" t="inlineStr">
        <is>
          <t>Retained earnings</t>
        </is>
      </c>
      <c r="C27" s="6" t="inlineStr">
        <is>
          <t>BS</t>
        </is>
      </c>
      <c r="D27" s="6" t="inlineStr">
        <is>
          <t>Equity</t>
        </is>
      </c>
      <c r="E27" s="6" t="inlineStr">
        <is>
          <t>Equity</t>
        </is>
      </c>
      <c r="F27" s="6" t="inlineStr">
        <is>
          <t>Retained earnings</t>
        </is>
      </c>
      <c r="G27" s="6" t="inlineStr">
        <is>
          <t>BS: retain TB sign</t>
        </is>
      </c>
    </row>
    <row r="28">
      <c r="A28" s="6" t="inlineStr">
        <is>
          <t>event_revenue_adjustment</t>
        </is>
      </c>
      <c r="B28" s="6" t="inlineStr">
        <is>
          <t>Event revenue adjustment</t>
        </is>
      </c>
      <c r="C28" s="6" t="inlineStr">
        <is>
          <t>IS</t>
        </is>
      </c>
      <c r="D28" s="6" t="inlineStr">
        <is>
          <t>Other Adjustments</t>
        </is>
      </c>
      <c r="E28" s="6" t="inlineStr">
        <is>
          <t>Event Adjustments</t>
        </is>
      </c>
      <c r="F28" s="6" t="inlineStr">
        <is>
          <t>Event revenue adjustment</t>
        </is>
      </c>
      <c r="G28" s="6" t="inlineStr">
        <is>
          <t>IS: invert TB sign</t>
        </is>
      </c>
    </row>
    <row r="29">
      <c r="A29" s="6" t="inlineStr">
        <is>
          <t>event_opex_adjustment</t>
        </is>
      </c>
      <c r="B29" s="6" t="inlineStr">
        <is>
          <t>Event operating expense adjustment</t>
        </is>
      </c>
      <c r="C29" s="6" t="inlineStr">
        <is>
          <t>IS</t>
        </is>
      </c>
      <c r="D29" s="6" t="inlineStr">
        <is>
          <t>Other Adjustments</t>
        </is>
      </c>
      <c r="E29" s="6" t="inlineStr">
        <is>
          <t>Event Adjustments</t>
        </is>
      </c>
      <c r="F29" s="6" t="inlineStr">
        <is>
          <t>Event operating expense adjustment</t>
        </is>
      </c>
      <c r="G29" s="6" t="inlineStr">
        <is>
          <t>IS: invert TB sign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4" t="inlineStr">
        <is>
          <t>Combined | IS</t>
        </is>
      </c>
    </row>
    <row r="2">
      <c r="A2" t="inlineStr">
        <is>
          <t>Units: $'000</t>
        </is>
      </c>
    </row>
    <row r="4">
      <c r="A4" s="1" t="inlineStr">
        <is>
          <t>Line item</t>
        </is>
      </c>
      <c r="B4" s="5" t="inlineStr">
        <is>
          <t>2023-01</t>
        </is>
      </c>
      <c r="C4" s="5" t="inlineStr">
        <is>
          <t>2023-02</t>
        </is>
      </c>
      <c r="D4" s="5" t="inlineStr">
        <is>
          <t>2023-03</t>
        </is>
      </c>
      <c r="E4" s="5" t="inlineStr">
        <is>
          <t>2023-04</t>
        </is>
      </c>
      <c r="F4" s="5" t="inlineStr">
        <is>
          <t>2023-05</t>
        </is>
      </c>
      <c r="G4" s="5" t="inlineStr">
        <is>
          <t>2023-06</t>
        </is>
      </c>
      <c r="H4" s="5" t="inlineStr">
        <is>
          <t>2023-07</t>
        </is>
      </c>
      <c r="I4" s="5" t="inlineStr">
        <is>
          <t>2023-08</t>
        </is>
      </c>
      <c r="J4" s="5" t="inlineStr">
        <is>
          <t>2023-09</t>
        </is>
      </c>
      <c r="K4" s="5" t="inlineStr">
        <is>
          <t>2023-10</t>
        </is>
      </c>
      <c r="L4" s="5" t="inlineStr">
        <is>
          <t>2023-11</t>
        </is>
      </c>
      <c r="M4" s="5" t="inlineStr">
        <is>
          <t>2023-12</t>
        </is>
      </c>
      <c r="N4" s="5" t="inlineStr">
        <is>
          <t>2024-01</t>
        </is>
      </c>
      <c r="O4" s="5" t="inlineStr">
        <is>
          <t>2024-02</t>
        </is>
      </c>
      <c r="P4" s="5" t="inlineStr">
        <is>
          <t>2024-03</t>
        </is>
      </c>
      <c r="Q4" s="5" t="inlineStr">
        <is>
          <t>2024-04</t>
        </is>
      </c>
      <c r="R4" s="5" t="inlineStr">
        <is>
          <t>2024-05</t>
        </is>
      </c>
      <c r="S4" s="5" t="inlineStr">
        <is>
          <t>2024-06</t>
        </is>
      </c>
      <c r="T4" s="5" t="inlineStr">
        <is>
          <t>2024-07</t>
        </is>
      </c>
      <c r="U4" s="5" t="inlineStr">
        <is>
          <t>2024-08</t>
        </is>
      </c>
      <c r="V4" s="5" t="inlineStr">
        <is>
          <t>2024-09</t>
        </is>
      </c>
      <c r="W4" s="5" t="inlineStr">
        <is>
          <t>2024-10</t>
        </is>
      </c>
      <c r="X4" s="5" t="inlineStr">
        <is>
          <t>2024-11</t>
        </is>
      </c>
      <c r="Y4" s="5" t="inlineStr">
        <is>
          <t>2024-12</t>
        </is>
      </c>
      <c r="Z4" s="5" t="inlineStr">
        <is>
          <t>2025-01</t>
        </is>
      </c>
      <c r="AA4" s="5" t="inlineStr">
        <is>
          <t>2025-02</t>
        </is>
      </c>
      <c r="AB4" s="5" t="inlineStr">
        <is>
          <t>2025-03</t>
        </is>
      </c>
      <c r="AC4" s="5" t="inlineStr">
        <is>
          <t>2025-04</t>
        </is>
      </c>
      <c r="AD4" s="5" t="inlineStr">
        <is>
          <t>2025-05</t>
        </is>
      </c>
      <c r="AE4" s="5" t="inlineStr">
        <is>
          <t>2025-06</t>
        </is>
      </c>
      <c r="AF4" s="5" t="inlineStr">
        <is>
          <t>2025-07</t>
        </is>
      </c>
      <c r="AG4" s="5" t="inlineStr">
        <is>
          <t>2025-08</t>
        </is>
      </c>
      <c r="AH4" s="5" t="inlineStr">
        <is>
          <t>2025-09</t>
        </is>
      </c>
      <c r="AI4" s="5" t="inlineStr">
        <is>
          <t>2025-10</t>
        </is>
      </c>
      <c r="AJ4" s="5" t="inlineStr">
        <is>
          <t>2025-11</t>
        </is>
      </c>
      <c r="AK4" s="5" t="inlineStr">
        <is>
          <t>2025-12</t>
        </is>
      </c>
    </row>
    <row r="5">
      <c r="A5" s="9" t="inlineStr">
        <is>
          <t>Revenue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inlineStr">
        <is>
          <t>Revenue - Product A</t>
        </is>
      </c>
      <c r="B6" s="7" t="n">
        <v>1189.68742</v>
      </c>
      <c r="C6" s="7" t="n">
        <v>1147.15461</v>
      </c>
      <c r="D6" s="7" t="n">
        <v>1207.88302</v>
      </c>
      <c r="E6" s="7" t="n">
        <v>1239.94889</v>
      </c>
      <c r="F6" s="7" t="n">
        <v>1183.54989</v>
      </c>
      <c r="G6" s="7" t="n">
        <v>1340.06304</v>
      </c>
      <c r="H6" s="7" t="n">
        <v>1280.72998</v>
      </c>
      <c r="I6" s="7" t="n">
        <v>1238.87287</v>
      </c>
      <c r="J6" s="7" t="n">
        <v>1317.49135</v>
      </c>
      <c r="K6" s="7" t="n">
        <v>1420.67852</v>
      </c>
      <c r="L6" s="7" t="n">
        <v>1401.31583</v>
      </c>
      <c r="M6" s="7" t="n">
        <v>1525.0881</v>
      </c>
      <c r="N6" s="7" t="n">
        <v>1243.46158</v>
      </c>
      <c r="O6" s="7" t="n">
        <v>1226.45369</v>
      </c>
      <c r="P6" s="7" t="n">
        <v>1300.15462</v>
      </c>
      <c r="Q6" s="7" t="n">
        <v>1383.36024</v>
      </c>
      <c r="R6" s="7" t="n">
        <v>1335.28149</v>
      </c>
      <c r="S6" s="7" t="n">
        <v>1446.34246</v>
      </c>
      <c r="T6" s="7" t="n">
        <v>1497.01882</v>
      </c>
      <c r="U6" s="7" t="n">
        <v>1498.21108</v>
      </c>
      <c r="V6" s="7" t="n">
        <v>1494.82998</v>
      </c>
      <c r="W6" s="7" t="n">
        <v>1712.82827</v>
      </c>
      <c r="X6" s="7" t="n">
        <v>1722.58869</v>
      </c>
      <c r="Y6" s="7" t="n">
        <v>1601.10699</v>
      </c>
      <c r="Z6" s="7" t="n">
        <v>1565.77601</v>
      </c>
      <c r="AA6" s="7" t="n">
        <v>1547.8841</v>
      </c>
      <c r="AB6" s="7" t="n">
        <v>1558.13927</v>
      </c>
      <c r="AC6" s="7" t="n">
        <v>1623.88734</v>
      </c>
      <c r="AD6" s="7" t="n">
        <v>1612.60255</v>
      </c>
      <c r="AE6" s="7" t="n">
        <v>1836.2004</v>
      </c>
      <c r="AF6" s="7" t="n">
        <v>1703.1664</v>
      </c>
      <c r="AG6" s="7" t="n">
        <v>1740.38783</v>
      </c>
      <c r="AH6" s="7" t="n">
        <v>1735.20007</v>
      </c>
      <c r="AI6" s="7" t="n">
        <v>2064.3098</v>
      </c>
      <c r="AJ6" s="7" t="n">
        <v>2020.11209</v>
      </c>
      <c r="AK6" s="7" t="n">
        <v>2129.44256</v>
      </c>
    </row>
    <row r="7" ht="19.5" customHeight="1">
      <c r="A7" s="6" t="inlineStr">
        <is>
          <t>Revenue - Product B</t>
        </is>
      </c>
      <c r="B7" s="7" t="n">
        <v>574.33186</v>
      </c>
      <c r="C7" s="7" t="n">
        <v>553.7987800000001</v>
      </c>
      <c r="D7" s="7" t="n">
        <v>583.1159399999999</v>
      </c>
      <c r="E7" s="7" t="n">
        <v>598.5960200000001</v>
      </c>
      <c r="F7" s="7" t="n">
        <v>571.36891</v>
      </c>
      <c r="G7" s="7" t="n">
        <v>646.92698</v>
      </c>
      <c r="H7" s="7" t="n">
        <v>618.2834399999999</v>
      </c>
      <c r="I7" s="7" t="n">
        <v>598.0765600000001</v>
      </c>
      <c r="J7" s="7" t="n">
        <v>636.0303</v>
      </c>
      <c r="K7" s="7" t="n">
        <v>685.8448000000001</v>
      </c>
      <c r="L7" s="7" t="n">
        <v>676.4973</v>
      </c>
      <c r="M7" s="7" t="n">
        <v>736.2494300000001</v>
      </c>
      <c r="N7" s="7" t="n">
        <v>600.2918000000001</v>
      </c>
      <c r="O7" s="7" t="n">
        <v>592.08109</v>
      </c>
      <c r="P7" s="7" t="n">
        <v>627.66085</v>
      </c>
      <c r="Q7" s="7" t="n">
        <v>667.82908</v>
      </c>
      <c r="R7" s="7" t="n">
        <v>644.61865</v>
      </c>
      <c r="S7" s="7" t="n">
        <v>698.23429</v>
      </c>
      <c r="T7" s="7" t="n">
        <v>722.69874</v>
      </c>
      <c r="U7" s="7" t="n">
        <v>723.27432</v>
      </c>
      <c r="V7" s="7" t="n">
        <v>721.64206</v>
      </c>
      <c r="W7" s="7" t="n">
        <v>826.88261</v>
      </c>
      <c r="X7" s="7" t="n">
        <v>831.5945400000001</v>
      </c>
      <c r="Y7" s="7" t="n">
        <v>772.9481999999999</v>
      </c>
      <c r="Z7" s="7" t="n">
        <v>755.89187</v>
      </c>
      <c r="AA7" s="7" t="n">
        <v>747.2543900000001</v>
      </c>
      <c r="AB7" s="7" t="n">
        <v>752.20516</v>
      </c>
      <c r="AC7" s="7" t="n">
        <v>783.94561</v>
      </c>
      <c r="AD7" s="7" t="n">
        <v>778.49778</v>
      </c>
      <c r="AE7" s="7" t="n">
        <v>886.44157</v>
      </c>
      <c r="AF7" s="7" t="n">
        <v>822.21826</v>
      </c>
      <c r="AG7" s="7" t="n">
        <v>840.18723</v>
      </c>
      <c r="AH7" s="7" t="n">
        <v>837.6827900000001</v>
      </c>
      <c r="AI7" s="7" t="n">
        <v>996.56335</v>
      </c>
      <c r="AJ7" s="7" t="n">
        <v>975.22653</v>
      </c>
      <c r="AK7" s="7" t="n">
        <v>1028.00675</v>
      </c>
    </row>
    <row r="8">
      <c r="A8" s="6" t="inlineStr">
        <is>
          <t>Revenue - Services</t>
        </is>
      </c>
      <c r="B8" s="7" t="n">
        <v>205.11852</v>
      </c>
      <c r="C8" s="7" t="n">
        <v>197.78528</v>
      </c>
      <c r="D8" s="7" t="n">
        <v>208.25569</v>
      </c>
      <c r="E8" s="7" t="n">
        <v>213.78429</v>
      </c>
      <c r="F8" s="7" t="n">
        <v>204.06033</v>
      </c>
      <c r="G8" s="7" t="n">
        <v>231.04535</v>
      </c>
      <c r="H8" s="7" t="n">
        <v>220.81551</v>
      </c>
      <c r="I8" s="7" t="n">
        <v>213.59877</v>
      </c>
      <c r="J8" s="7" t="n">
        <v>227.15368</v>
      </c>
      <c r="K8" s="7" t="n">
        <v>244.94457</v>
      </c>
      <c r="L8" s="7" t="n">
        <v>241.60618</v>
      </c>
      <c r="M8" s="7" t="n">
        <v>262.94622</v>
      </c>
      <c r="N8" s="7" t="n">
        <v>214.38993</v>
      </c>
      <c r="O8" s="7" t="n">
        <v>211.45753</v>
      </c>
      <c r="P8" s="7" t="n">
        <v>224.16459</v>
      </c>
      <c r="Q8" s="7" t="n">
        <v>238.51039</v>
      </c>
      <c r="R8" s="7" t="n">
        <v>230.22095</v>
      </c>
      <c r="S8" s="7" t="n">
        <v>249.36939</v>
      </c>
      <c r="T8" s="7" t="n">
        <v>258.10669</v>
      </c>
      <c r="U8" s="7" t="n">
        <v>258.31226</v>
      </c>
      <c r="V8" s="7" t="n">
        <v>257.72931</v>
      </c>
      <c r="W8" s="7" t="n">
        <v>295.31522</v>
      </c>
      <c r="X8" s="7" t="n">
        <v>296.99805</v>
      </c>
      <c r="Y8" s="7" t="n">
        <v>276.05293</v>
      </c>
      <c r="Z8" s="7" t="n">
        <v>269.96138</v>
      </c>
      <c r="AA8" s="7" t="n">
        <v>266.87657</v>
      </c>
      <c r="AB8" s="7" t="n">
        <v>268.6447</v>
      </c>
      <c r="AC8" s="7" t="n">
        <v>279.98058</v>
      </c>
      <c r="AD8" s="7" t="n">
        <v>278.03492</v>
      </c>
      <c r="AE8" s="7" t="n">
        <v>316.58628</v>
      </c>
      <c r="AF8" s="7" t="n">
        <v>293.64938</v>
      </c>
      <c r="AG8" s="7" t="n">
        <v>300.06687</v>
      </c>
      <c r="AH8" s="7" t="n">
        <v>299.17243</v>
      </c>
      <c r="AI8" s="7" t="n">
        <v>355.91548</v>
      </c>
      <c r="AJ8" s="7" t="n">
        <v>348.29519</v>
      </c>
      <c r="AK8" s="7" t="n">
        <v>367.14527</v>
      </c>
    </row>
    <row r="9">
      <c r="A9" s="6" t="inlineStr">
        <is>
          <t>Revenue - Discounts/Returns</t>
        </is>
      </c>
      <c r="B9" s="7" t="n">
        <v>82.04741</v>
      </c>
      <c r="C9" s="7" t="n">
        <v>79.11411</v>
      </c>
      <c r="D9" s="7" t="n">
        <v>83.30228</v>
      </c>
      <c r="E9" s="7" t="n">
        <v>85.51372000000001</v>
      </c>
      <c r="F9" s="7" t="n">
        <v>81.62413000000001</v>
      </c>
      <c r="G9" s="7" t="n">
        <v>92.41813999999999</v>
      </c>
      <c r="H9" s="7" t="n">
        <v>88.32621</v>
      </c>
      <c r="I9" s="7" t="n">
        <v>85.43951</v>
      </c>
      <c r="J9" s="7" t="n">
        <v>90.86147</v>
      </c>
      <c r="K9" s="7" t="n">
        <v>97.97783</v>
      </c>
      <c r="L9" s="7" t="n">
        <v>96.64247</v>
      </c>
      <c r="M9" s="7" t="n">
        <v>105.17849</v>
      </c>
      <c r="N9" s="7" t="n">
        <v>85.75597</v>
      </c>
      <c r="O9" s="7" t="n">
        <v>84.58301</v>
      </c>
      <c r="P9" s="7" t="n">
        <v>89.66584</v>
      </c>
      <c r="Q9" s="7" t="n">
        <v>95.40414999999999</v>
      </c>
      <c r="R9" s="7" t="n">
        <v>92.08838</v>
      </c>
      <c r="S9" s="7" t="n">
        <v>99.74776</v>
      </c>
      <c r="T9" s="7" t="n">
        <v>103.24268</v>
      </c>
      <c r="U9" s="7" t="n">
        <v>103.3249</v>
      </c>
      <c r="V9" s="7" t="n">
        <v>103.09172</v>
      </c>
      <c r="W9" s="7" t="n">
        <v>118.12609</v>
      </c>
      <c r="X9" s="7" t="n">
        <v>118.79922</v>
      </c>
      <c r="Y9" s="7" t="n">
        <v>110.42117</v>
      </c>
      <c r="Z9" s="7" t="n">
        <v>107.98455</v>
      </c>
      <c r="AA9" s="7" t="n">
        <v>106.75063</v>
      </c>
      <c r="AB9" s="7" t="n">
        <v>107.45788</v>
      </c>
      <c r="AC9" s="7" t="n">
        <v>111.99223</v>
      </c>
      <c r="AD9" s="7" t="n">
        <v>111.21397</v>
      </c>
      <c r="AE9" s="7" t="n">
        <v>126.63451</v>
      </c>
      <c r="AF9" s="7" t="n">
        <v>117.45975</v>
      </c>
      <c r="AG9" s="7" t="n">
        <v>120.02675</v>
      </c>
      <c r="AH9" s="7" t="n">
        <v>119.66897</v>
      </c>
      <c r="AI9" s="7" t="n">
        <v>142.36619</v>
      </c>
      <c r="AJ9" s="7" t="n">
        <v>139.31808</v>
      </c>
      <c r="AK9" s="7" t="n">
        <v>146.85811</v>
      </c>
    </row>
    <row r="10">
      <c r="A10" s="10" t="inlineStr">
        <is>
          <t>Total Revenue</t>
        </is>
      </c>
      <c r="B10" s="7">
        <f>SUM(B6:B9)</f>
        <v/>
      </c>
      <c r="C10" s="7">
        <f>SUM(C6:C9)</f>
        <v/>
      </c>
      <c r="D10" s="7">
        <f>SUM(D6:D9)</f>
        <v/>
      </c>
      <c r="E10" s="7">
        <f>SUM(E6:E9)</f>
        <v/>
      </c>
      <c r="F10" s="7">
        <f>SUM(F6:F9)</f>
        <v/>
      </c>
      <c r="G10" s="7">
        <f>SUM(G6:G9)</f>
        <v/>
      </c>
      <c r="H10" s="7">
        <f>SUM(H6:H9)</f>
        <v/>
      </c>
      <c r="I10" s="7">
        <f>SUM(I6:I9)</f>
        <v/>
      </c>
      <c r="J10" s="7">
        <f>SUM(J6:J9)</f>
        <v/>
      </c>
      <c r="K10" s="7">
        <f>SUM(K6:K9)</f>
        <v/>
      </c>
      <c r="L10" s="7">
        <f>SUM(L6:L9)</f>
        <v/>
      </c>
      <c r="M10" s="7">
        <f>SUM(M6:M9)</f>
        <v/>
      </c>
      <c r="N10" s="7">
        <f>SUM(N6:N9)</f>
        <v/>
      </c>
      <c r="O10" s="7">
        <f>SUM(O6:O9)</f>
        <v/>
      </c>
      <c r="P10" s="7">
        <f>SUM(P6:P9)</f>
        <v/>
      </c>
      <c r="Q10" s="7">
        <f>SUM(Q6:Q9)</f>
        <v/>
      </c>
      <c r="R10" s="7">
        <f>SUM(R6:R9)</f>
        <v/>
      </c>
      <c r="S10" s="7">
        <f>SUM(S6:S9)</f>
        <v/>
      </c>
      <c r="T10" s="7">
        <f>SUM(T6:T9)</f>
        <v/>
      </c>
      <c r="U10" s="7">
        <f>SUM(U6:U9)</f>
        <v/>
      </c>
      <c r="V10" s="7">
        <f>SUM(V6:V9)</f>
        <v/>
      </c>
      <c r="W10" s="7">
        <f>SUM(W6:W9)</f>
        <v/>
      </c>
      <c r="X10" s="7">
        <f>SUM(X6:X9)</f>
        <v/>
      </c>
      <c r="Y10" s="7">
        <f>SUM(Y6:Y9)</f>
        <v/>
      </c>
      <c r="Z10" s="7">
        <f>SUM(Z6:Z9)</f>
        <v/>
      </c>
      <c r="AA10" s="7">
        <f>SUM(AA6:AA9)</f>
        <v/>
      </c>
      <c r="AB10" s="7">
        <f>SUM(AB6:AB9)</f>
        <v/>
      </c>
      <c r="AC10" s="7">
        <f>SUM(AC6:AC9)</f>
        <v/>
      </c>
      <c r="AD10" s="7">
        <f>SUM(AD6:AD9)</f>
        <v/>
      </c>
      <c r="AE10" s="7">
        <f>SUM(AE6:AE9)</f>
        <v/>
      </c>
      <c r="AF10" s="7">
        <f>SUM(AF6:AF9)</f>
        <v/>
      </c>
      <c r="AG10" s="7">
        <f>SUM(AG6:AG9)</f>
        <v/>
      </c>
      <c r="AH10" s="7">
        <f>SUM(AH6:AH9)</f>
        <v/>
      </c>
      <c r="AI10" s="7">
        <f>SUM(AI6:AI9)</f>
        <v/>
      </c>
      <c r="AJ10" s="7">
        <f>SUM(AJ6:AJ9)</f>
        <v/>
      </c>
      <c r="AK10" s="7">
        <f>SUM(AK6:AK9)</f>
        <v/>
      </c>
    </row>
    <row r="11">
      <c r="A11" s="9" t="inlineStr">
        <is>
          <t>Cost of Goods Sold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inlineStr">
        <is>
          <t>Direct materials</t>
        </is>
      </c>
      <c r="B12" s="7" t="n">
        <v>-612.9099200000001</v>
      </c>
      <c r="C12" s="7" t="n">
        <v>-590.99762</v>
      </c>
      <c r="D12" s="7" t="n">
        <v>-622.28403</v>
      </c>
      <c r="E12" s="7" t="n">
        <v>-638.8039100000001</v>
      </c>
      <c r="F12" s="7" t="n">
        <v>-609.7479499999999</v>
      </c>
      <c r="G12" s="7" t="n">
        <v>-690.3812800000001</v>
      </c>
      <c r="H12" s="7" t="n">
        <v>-659.8137399999999</v>
      </c>
      <c r="I12" s="7" t="n">
        <v>-638.2495600000001</v>
      </c>
      <c r="J12" s="7" t="n">
        <v>-678.7526700000001</v>
      </c>
      <c r="K12" s="7" t="n">
        <v>-731.91323</v>
      </c>
      <c r="L12" s="7" t="n">
        <v>-721.9378399999999</v>
      </c>
      <c r="M12" s="7" t="n">
        <v>-785.7035500000001</v>
      </c>
      <c r="N12" s="7" t="n">
        <v>-640.6136</v>
      </c>
      <c r="O12" s="7" t="n">
        <v>-631.8513799999999</v>
      </c>
      <c r="P12" s="7" t="n">
        <v>-669.82104</v>
      </c>
      <c r="Q12" s="7" t="n">
        <v>-712.68738</v>
      </c>
      <c r="R12" s="7" t="n">
        <v>-687.9179</v>
      </c>
      <c r="S12" s="7" t="n">
        <v>-745.1349200000001</v>
      </c>
      <c r="T12" s="7" t="n">
        <v>-771.24265</v>
      </c>
      <c r="U12" s="7" t="n">
        <v>-771.85689</v>
      </c>
      <c r="V12" s="7" t="n">
        <v>-770.11499</v>
      </c>
      <c r="W12" s="7" t="n">
        <v>-882.42459</v>
      </c>
      <c r="X12" s="7" t="n">
        <v>-887.45302</v>
      </c>
      <c r="Y12" s="7" t="n">
        <v>-824.86739</v>
      </c>
      <c r="Z12" s="7" t="n">
        <v>-806.6653699999999</v>
      </c>
      <c r="AA12" s="7" t="n">
        <v>-797.44772</v>
      </c>
      <c r="AB12" s="7" t="n">
        <v>-802.73103</v>
      </c>
      <c r="AC12" s="7" t="n">
        <v>-836.6035000000001</v>
      </c>
      <c r="AD12" s="7" t="n">
        <v>-830.7897399999999</v>
      </c>
      <c r="AE12" s="7" t="n">
        <v>-945.98415</v>
      </c>
      <c r="AF12" s="7" t="n">
        <v>-877.4469300000001</v>
      </c>
      <c r="AG12" s="7" t="n">
        <v>-896.62288</v>
      </c>
      <c r="AH12" s="7" t="n">
        <v>-893.9502199999999</v>
      </c>
      <c r="AI12" s="7" t="n">
        <v>-1063.50284</v>
      </c>
      <c r="AJ12" s="7" t="n">
        <v>-1040.73282</v>
      </c>
      <c r="AK12" s="7" t="n">
        <v>-1097.0583</v>
      </c>
    </row>
    <row r="13">
      <c r="A13" s="6" t="inlineStr">
        <is>
          <t>Direct labor</t>
        </is>
      </c>
      <c r="B13" s="7" t="n">
        <v>-162.24086</v>
      </c>
      <c r="C13" s="7" t="n">
        <v>-156.44055</v>
      </c>
      <c r="D13" s="7" t="n">
        <v>-164.72224</v>
      </c>
      <c r="E13" s="7" t="n">
        <v>-169.09515</v>
      </c>
      <c r="F13" s="7" t="n">
        <v>-161.40387</v>
      </c>
      <c r="G13" s="7" t="n">
        <v>-182.74799</v>
      </c>
      <c r="H13" s="7" t="n">
        <v>-174.65658</v>
      </c>
      <c r="I13" s="7" t="n">
        <v>-168.94841</v>
      </c>
      <c r="J13" s="7" t="n">
        <v>-179.66982</v>
      </c>
      <c r="K13" s="7" t="n">
        <v>-193.74174</v>
      </c>
      <c r="L13" s="7" t="n">
        <v>-191.10119</v>
      </c>
      <c r="M13" s="7" t="n">
        <v>-207.98035</v>
      </c>
      <c r="N13" s="7" t="n">
        <v>-169.57419</v>
      </c>
      <c r="O13" s="7" t="n">
        <v>-167.25478</v>
      </c>
      <c r="P13" s="7" t="n">
        <v>-177.30557</v>
      </c>
      <c r="Q13" s="7" t="n">
        <v>-188.65254</v>
      </c>
      <c r="R13" s="7" t="n">
        <v>-182.09591</v>
      </c>
      <c r="S13" s="7" t="n">
        <v>-197.2416</v>
      </c>
      <c r="T13" s="7" t="n">
        <v>-204.15247</v>
      </c>
      <c r="U13" s="7" t="n">
        <v>-204.31506</v>
      </c>
      <c r="V13" s="7" t="n">
        <v>-203.85397</v>
      </c>
      <c r="W13" s="7" t="n">
        <v>-233.58298</v>
      </c>
      <c r="X13" s="7" t="n">
        <v>-234.91403</v>
      </c>
      <c r="Y13" s="7" t="n">
        <v>-218.34725</v>
      </c>
      <c r="Z13" s="7" t="n">
        <v>-213.52907</v>
      </c>
      <c r="AA13" s="7" t="n">
        <v>-211.0891</v>
      </c>
      <c r="AB13" s="7" t="n">
        <v>-212.48763</v>
      </c>
      <c r="AC13" s="7" t="n">
        <v>-221.45387</v>
      </c>
      <c r="AD13" s="7" t="n">
        <v>-219.91493</v>
      </c>
      <c r="AE13" s="7" t="n">
        <v>-250.40757</v>
      </c>
      <c r="AF13" s="7" t="n">
        <v>-232.26536</v>
      </c>
      <c r="AG13" s="7" t="n">
        <v>-237.34135</v>
      </c>
      <c r="AH13" s="7" t="n">
        <v>-236.63388</v>
      </c>
      <c r="AI13" s="7" t="n">
        <v>-281.51546</v>
      </c>
      <c r="AJ13" s="7" t="n">
        <v>-275.4881</v>
      </c>
      <c r="AK13" s="7" t="n">
        <v>-290.39779</v>
      </c>
    </row>
    <row r="14">
      <c r="A14" s="6" t="inlineStr">
        <is>
          <t>Freight &amp; handling</t>
        </is>
      </c>
      <c r="B14" s="7" t="n">
        <v>-126.18734</v>
      </c>
      <c r="C14" s="7" t="n">
        <v>-121.67598</v>
      </c>
      <c r="D14" s="7" t="n">
        <v>-128.1173</v>
      </c>
      <c r="E14" s="7" t="n">
        <v>-131.51845</v>
      </c>
      <c r="F14" s="7" t="n">
        <v>-125.53634</v>
      </c>
      <c r="G14" s="7" t="n">
        <v>-142.13732</v>
      </c>
      <c r="H14" s="7" t="n">
        <v>-135.84401</v>
      </c>
      <c r="I14" s="7" t="n">
        <v>-131.40432</v>
      </c>
      <c r="J14" s="7" t="n">
        <v>-139.7432</v>
      </c>
      <c r="K14" s="7" t="n">
        <v>-150.68802</v>
      </c>
      <c r="L14" s="7" t="n">
        <v>-148.63426</v>
      </c>
      <c r="M14" s="7" t="n">
        <v>-161.76249</v>
      </c>
      <c r="N14" s="7" t="n">
        <v>-131.89103</v>
      </c>
      <c r="O14" s="7" t="n">
        <v>-130.08705</v>
      </c>
      <c r="P14" s="7" t="n">
        <v>-137.90433</v>
      </c>
      <c r="Q14" s="7" t="n">
        <v>-146.72976</v>
      </c>
      <c r="R14" s="7" t="n">
        <v>-141.63016</v>
      </c>
      <c r="S14" s="7" t="n">
        <v>-153.41013</v>
      </c>
      <c r="T14" s="7" t="n">
        <v>-158.78525</v>
      </c>
      <c r="U14" s="7" t="n">
        <v>-158.91171</v>
      </c>
      <c r="V14" s="7" t="n">
        <v>-158.55309</v>
      </c>
      <c r="W14" s="7" t="n">
        <v>-181.67565</v>
      </c>
      <c r="X14" s="7" t="n">
        <v>-182.71092</v>
      </c>
      <c r="Y14" s="7" t="n">
        <v>-169.82564</v>
      </c>
      <c r="Z14" s="7" t="n">
        <v>-166.07817</v>
      </c>
      <c r="AA14" s="7" t="n">
        <v>-164.18041</v>
      </c>
      <c r="AB14" s="7" t="n">
        <v>-165.26815</v>
      </c>
      <c r="AC14" s="7" t="n">
        <v>-172.2419</v>
      </c>
      <c r="AD14" s="7" t="n">
        <v>-171.04495</v>
      </c>
      <c r="AE14" s="7" t="n">
        <v>-194.76144</v>
      </c>
      <c r="AF14" s="7" t="n">
        <v>-180.65084</v>
      </c>
      <c r="AG14" s="7" t="n">
        <v>-184.59883</v>
      </c>
      <c r="AH14" s="7" t="n">
        <v>-184.04857</v>
      </c>
      <c r="AI14" s="7" t="n">
        <v>-218.95647</v>
      </c>
      <c r="AJ14" s="7" t="n">
        <v>-214.26852</v>
      </c>
      <c r="AK14" s="7" t="n">
        <v>-225.86495</v>
      </c>
    </row>
    <row r="15">
      <c r="A15" s="6" t="inlineStr">
        <is>
          <t>Manufacturing overhead</t>
        </is>
      </c>
      <c r="B15" s="7" t="n">
        <v>-36.05352</v>
      </c>
      <c r="C15" s="7" t="n">
        <v>-34.76457</v>
      </c>
      <c r="D15" s="7" t="n">
        <v>-36.60494</v>
      </c>
      <c r="E15" s="7" t="n">
        <v>-37.5767</v>
      </c>
      <c r="F15" s="7" t="n">
        <v>-35.86753</v>
      </c>
      <c r="G15" s="7" t="n">
        <v>-40.61066</v>
      </c>
      <c r="H15" s="7" t="n">
        <v>-38.81257</v>
      </c>
      <c r="I15" s="7" t="n">
        <v>-37.54409</v>
      </c>
      <c r="J15" s="7" t="n">
        <v>-39.92663</v>
      </c>
      <c r="K15" s="7" t="n">
        <v>-43.05372</v>
      </c>
      <c r="L15" s="7" t="n">
        <v>-42.46693</v>
      </c>
      <c r="M15" s="7" t="n">
        <v>-46.21786</v>
      </c>
      <c r="N15" s="7" t="n">
        <v>-37.68315</v>
      </c>
      <c r="O15" s="7" t="n">
        <v>-37.16773000000001</v>
      </c>
      <c r="P15" s="7" t="n">
        <v>-39.40124</v>
      </c>
      <c r="Q15" s="7" t="n">
        <v>-41.92279</v>
      </c>
      <c r="R15" s="7" t="n">
        <v>-40.46576</v>
      </c>
      <c r="S15" s="7" t="n">
        <v>-43.83147</v>
      </c>
      <c r="T15" s="7" t="n">
        <v>-45.36721</v>
      </c>
      <c r="U15" s="7" t="n">
        <v>-45.40335</v>
      </c>
      <c r="V15" s="7" t="n">
        <v>-45.30088</v>
      </c>
      <c r="W15" s="7" t="n">
        <v>-51.90733</v>
      </c>
      <c r="X15" s="7" t="n">
        <v>-52.20312000000001</v>
      </c>
      <c r="Y15" s="7" t="n">
        <v>-48.52161</v>
      </c>
      <c r="Z15" s="7" t="n">
        <v>-47.4509</v>
      </c>
      <c r="AA15" s="7" t="n">
        <v>-46.90869</v>
      </c>
      <c r="AB15" s="7" t="n">
        <v>-47.21947</v>
      </c>
      <c r="AC15" s="7" t="n">
        <v>-49.21197</v>
      </c>
      <c r="AD15" s="7" t="n">
        <v>-48.86998000000001</v>
      </c>
      <c r="AE15" s="7" t="n">
        <v>-55.64613</v>
      </c>
      <c r="AF15" s="7" t="n">
        <v>-51.61453</v>
      </c>
      <c r="AG15" s="7" t="n">
        <v>-52.74252</v>
      </c>
      <c r="AH15" s="7" t="n">
        <v>-52.58531</v>
      </c>
      <c r="AI15" s="7" t="n">
        <v>-62.55899</v>
      </c>
      <c r="AJ15" s="7" t="n">
        <v>-61.21958</v>
      </c>
      <c r="AK15" s="7" t="n">
        <v>-64.53283999999999</v>
      </c>
    </row>
    <row r="16">
      <c r="A16" s="10" t="inlineStr">
        <is>
          <t>Total COGS</t>
        </is>
      </c>
      <c r="B16" s="7">
        <f>SUM(B12:B15)</f>
        <v/>
      </c>
      <c r="C16" s="7">
        <f>SUM(C12:C15)</f>
        <v/>
      </c>
      <c r="D16" s="7">
        <f>SUM(D12:D15)</f>
        <v/>
      </c>
      <c r="E16" s="7">
        <f>SUM(E12:E15)</f>
        <v/>
      </c>
      <c r="F16" s="7">
        <f>SUM(F12:F15)</f>
        <v/>
      </c>
      <c r="G16" s="7">
        <f>SUM(G12:G15)</f>
        <v/>
      </c>
      <c r="H16" s="7">
        <f>SUM(H12:H15)</f>
        <v/>
      </c>
      <c r="I16" s="7">
        <f>SUM(I12:I15)</f>
        <v/>
      </c>
      <c r="J16" s="7">
        <f>SUM(J12:J15)</f>
        <v/>
      </c>
      <c r="K16" s="7">
        <f>SUM(K12:K15)</f>
        <v/>
      </c>
      <c r="L16" s="7">
        <f>SUM(L12:L15)</f>
        <v/>
      </c>
      <c r="M16" s="7">
        <f>SUM(M12:M15)</f>
        <v/>
      </c>
      <c r="N16" s="7">
        <f>SUM(N12:N15)</f>
        <v/>
      </c>
      <c r="O16" s="7">
        <f>SUM(O12:O15)</f>
        <v/>
      </c>
      <c r="P16" s="7">
        <f>SUM(P12:P15)</f>
        <v/>
      </c>
      <c r="Q16" s="7">
        <f>SUM(Q12:Q15)</f>
        <v/>
      </c>
      <c r="R16" s="7">
        <f>SUM(R12:R15)</f>
        <v/>
      </c>
      <c r="S16" s="7">
        <f>SUM(S12:S15)</f>
        <v/>
      </c>
      <c r="T16" s="7">
        <f>SUM(T12:T15)</f>
        <v/>
      </c>
      <c r="U16" s="7">
        <f>SUM(U12:U15)</f>
        <v/>
      </c>
      <c r="V16" s="7">
        <f>SUM(V12:V15)</f>
        <v/>
      </c>
      <c r="W16" s="7">
        <f>SUM(W12:W15)</f>
        <v/>
      </c>
      <c r="X16" s="7">
        <f>SUM(X12:X15)</f>
        <v/>
      </c>
      <c r="Y16" s="7">
        <f>SUM(Y12:Y15)</f>
        <v/>
      </c>
      <c r="Z16" s="7">
        <f>SUM(Z12:Z15)</f>
        <v/>
      </c>
      <c r="AA16" s="7">
        <f>SUM(AA12:AA15)</f>
        <v/>
      </c>
      <c r="AB16" s="7">
        <f>SUM(AB12:AB15)</f>
        <v/>
      </c>
      <c r="AC16" s="7">
        <f>SUM(AC12:AC15)</f>
        <v/>
      </c>
      <c r="AD16" s="7">
        <f>SUM(AD12:AD15)</f>
        <v/>
      </c>
      <c r="AE16" s="7">
        <f>SUM(AE12:AE15)</f>
        <v/>
      </c>
      <c r="AF16" s="7">
        <f>SUM(AF12:AF15)</f>
        <v/>
      </c>
      <c r="AG16" s="7">
        <f>SUM(AG12:AG15)</f>
        <v/>
      </c>
      <c r="AH16" s="7">
        <f>SUM(AH12:AH15)</f>
        <v/>
      </c>
      <c r="AI16" s="7">
        <f>SUM(AI12:AI15)</f>
        <v/>
      </c>
      <c r="AJ16" s="7">
        <f>SUM(AJ12:AJ15)</f>
        <v/>
      </c>
      <c r="AK16" s="7">
        <f>SUM(AK12:AK15)</f>
        <v/>
      </c>
    </row>
    <row r="17">
      <c r="A17" s="9" t="inlineStr">
        <is>
          <t>Operating Expenses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inlineStr">
        <is>
          <t>Payroll expense</t>
        </is>
      </c>
      <c r="B18" s="7" t="n">
        <v>-225.63037</v>
      </c>
      <c r="C18" s="7" t="n">
        <v>-217.5638</v>
      </c>
      <c r="D18" s="7" t="n">
        <v>-229.08126</v>
      </c>
      <c r="E18" s="7" t="n">
        <v>-235.16272</v>
      </c>
      <c r="F18" s="7" t="n">
        <v>-224.46636</v>
      </c>
      <c r="G18" s="7" t="n">
        <v>-254.14989</v>
      </c>
      <c r="H18" s="7" t="n">
        <v>-242.89707</v>
      </c>
      <c r="I18" s="7" t="n">
        <v>-234.95865</v>
      </c>
      <c r="J18" s="7" t="n">
        <v>-249.86905</v>
      </c>
      <c r="K18" s="7" t="n">
        <v>-269.43903</v>
      </c>
      <c r="L18" s="7" t="n">
        <v>-265.7668</v>
      </c>
      <c r="M18" s="7" t="n">
        <v>-289.24085</v>
      </c>
      <c r="N18" s="7" t="n">
        <v>-235.82892</v>
      </c>
      <c r="O18" s="7" t="n">
        <v>-232.60329</v>
      </c>
      <c r="P18" s="7" t="n">
        <v>-246.58105</v>
      </c>
      <c r="Q18" s="7" t="n">
        <v>-262.36143</v>
      </c>
      <c r="R18" s="7" t="n">
        <v>-253.24304</v>
      </c>
      <c r="S18" s="7" t="n">
        <v>-274.30633</v>
      </c>
      <c r="T18" s="7" t="n">
        <v>-283.91736</v>
      </c>
      <c r="U18" s="7" t="n">
        <v>-284.14348</v>
      </c>
      <c r="V18" s="7" t="n">
        <v>-283.50224</v>
      </c>
      <c r="W18" s="7" t="n">
        <v>-324.84674</v>
      </c>
      <c r="X18" s="7" t="n">
        <v>-326.69785</v>
      </c>
      <c r="Y18" s="7" t="n">
        <v>-303.65822</v>
      </c>
      <c r="Z18" s="7" t="n">
        <v>-296.95752</v>
      </c>
      <c r="AA18" s="7" t="n">
        <v>-293.56423</v>
      </c>
      <c r="AB18" s="7" t="n">
        <v>-295.50917</v>
      </c>
      <c r="AC18" s="7" t="n">
        <v>-307.97863</v>
      </c>
      <c r="AD18" s="7" t="n">
        <v>-305.83841</v>
      </c>
      <c r="AE18" s="7" t="n">
        <v>-348.2449</v>
      </c>
      <c r="AF18" s="7" t="n">
        <v>-323.01432</v>
      </c>
      <c r="AG18" s="7" t="n">
        <v>-330.07355</v>
      </c>
      <c r="AH18" s="7" t="n">
        <v>-329.08967</v>
      </c>
      <c r="AI18" s="7" t="n">
        <v>-391.50703</v>
      </c>
      <c r="AJ18" s="7" t="n">
        <v>-383.12471</v>
      </c>
      <c r="AK18" s="7" t="n">
        <v>-403.8598</v>
      </c>
    </row>
    <row r="19">
      <c r="A19" s="6" t="inlineStr">
        <is>
          <t>Marketing expense</t>
        </is>
      </c>
      <c r="B19" s="7" t="n">
        <v>-164.09482</v>
      </c>
      <c r="C19" s="7" t="n">
        <v>-158.22822</v>
      </c>
      <c r="D19" s="7" t="n">
        <v>-166.60456</v>
      </c>
      <c r="E19" s="7" t="n">
        <v>-171.02743</v>
      </c>
      <c r="F19" s="7" t="n">
        <v>-163.24826</v>
      </c>
      <c r="G19" s="7" t="n">
        <v>-184.83628</v>
      </c>
      <c r="H19" s="7" t="n">
        <v>-176.65241</v>
      </c>
      <c r="I19" s="7" t="n">
        <v>-170.87902</v>
      </c>
      <c r="J19" s="7" t="n">
        <v>-181.72294</v>
      </c>
      <c r="K19" s="7" t="n">
        <v>-195.95566</v>
      </c>
      <c r="L19" s="7" t="n">
        <v>-193.28494</v>
      </c>
      <c r="M19" s="7" t="n">
        <v>-210.35698</v>
      </c>
      <c r="N19" s="7" t="n">
        <v>-171.51194</v>
      </c>
      <c r="O19" s="7" t="n">
        <v>-169.16603</v>
      </c>
      <c r="P19" s="7" t="n">
        <v>-179.33167</v>
      </c>
      <c r="Q19" s="7" t="n">
        <v>-190.80831</v>
      </c>
      <c r="R19" s="7" t="n">
        <v>-184.17676</v>
      </c>
      <c r="S19" s="7" t="n">
        <v>-199.49551</v>
      </c>
      <c r="T19" s="7" t="n">
        <v>-206.48535</v>
      </c>
      <c r="U19" s="7" t="n">
        <v>-206.6498</v>
      </c>
      <c r="V19" s="7" t="n">
        <v>-206.18345</v>
      </c>
      <c r="W19" s="7" t="n">
        <v>-236.25218</v>
      </c>
      <c r="X19" s="7" t="n">
        <v>-237.59844</v>
      </c>
      <c r="Y19" s="7" t="n">
        <v>-220.84234</v>
      </c>
      <c r="Z19" s="7" t="n">
        <v>-215.9691</v>
      </c>
      <c r="AA19" s="7" t="n">
        <v>-213.50125</v>
      </c>
      <c r="AB19" s="7" t="n">
        <v>-214.91576</v>
      </c>
      <c r="AC19" s="7" t="n">
        <v>-223.98446</v>
      </c>
      <c r="AD19" s="7" t="n">
        <v>-222.42794</v>
      </c>
      <c r="AE19" s="7" t="n">
        <v>-253.26902</v>
      </c>
      <c r="AF19" s="7" t="n">
        <v>-234.9195</v>
      </c>
      <c r="AG19" s="7" t="n">
        <v>-240.05349</v>
      </c>
      <c r="AH19" s="7" t="n">
        <v>-239.33794</v>
      </c>
      <c r="AI19" s="7" t="n">
        <v>-284.73239</v>
      </c>
      <c r="AJ19" s="7" t="n">
        <v>-278.63615</v>
      </c>
      <c r="AK19" s="7" t="n">
        <v>-293.71621</v>
      </c>
    </row>
    <row r="20">
      <c r="A20" s="6" t="inlineStr">
        <is>
          <t>General and administrative</t>
        </is>
      </c>
      <c r="B20" s="7" t="n">
        <v>-82.04741</v>
      </c>
      <c r="C20" s="7" t="n">
        <v>-79.11411</v>
      </c>
      <c r="D20" s="7" t="n">
        <v>-83.30228</v>
      </c>
      <c r="E20" s="7" t="n">
        <v>-85.51372000000001</v>
      </c>
      <c r="F20" s="7" t="n">
        <v>-81.62413000000001</v>
      </c>
      <c r="G20" s="7" t="n">
        <v>-92.41813999999999</v>
      </c>
      <c r="H20" s="7" t="n">
        <v>-88.32621</v>
      </c>
      <c r="I20" s="7" t="n">
        <v>-85.43951</v>
      </c>
      <c r="J20" s="7" t="n">
        <v>-90.86147</v>
      </c>
      <c r="K20" s="7" t="n">
        <v>-97.97783</v>
      </c>
      <c r="L20" s="7" t="n">
        <v>-96.64247</v>
      </c>
      <c r="M20" s="7" t="n">
        <v>-105.17849</v>
      </c>
      <c r="N20" s="7" t="n">
        <v>-85.75597</v>
      </c>
      <c r="O20" s="7" t="n">
        <v>-84.58301</v>
      </c>
      <c r="P20" s="7" t="n">
        <v>-89.66584</v>
      </c>
      <c r="Q20" s="7" t="n">
        <v>-95.40414999999999</v>
      </c>
      <c r="R20" s="7" t="n">
        <v>-92.08838</v>
      </c>
      <c r="S20" s="7" t="n">
        <v>-99.74776</v>
      </c>
      <c r="T20" s="7" t="n">
        <v>-103.24268</v>
      </c>
      <c r="U20" s="7" t="n">
        <v>-103.3249</v>
      </c>
      <c r="V20" s="7" t="n">
        <v>-103.09172</v>
      </c>
      <c r="W20" s="7" t="n">
        <v>-118.12609</v>
      </c>
      <c r="X20" s="7" t="n">
        <v>-118.79922</v>
      </c>
      <c r="Y20" s="7" t="n">
        <v>-110.42117</v>
      </c>
      <c r="Z20" s="7" t="n">
        <v>-107.98455</v>
      </c>
      <c r="AA20" s="7" t="n">
        <v>-106.75063</v>
      </c>
      <c r="AB20" s="7" t="n">
        <v>-107.45788</v>
      </c>
      <c r="AC20" s="7" t="n">
        <v>-111.99223</v>
      </c>
      <c r="AD20" s="7" t="n">
        <v>-111.21397</v>
      </c>
      <c r="AE20" s="7" t="n">
        <v>-126.63451</v>
      </c>
      <c r="AF20" s="7" t="n">
        <v>-117.45975</v>
      </c>
      <c r="AG20" s="7" t="n">
        <v>-120.02675</v>
      </c>
      <c r="AH20" s="7" t="n">
        <v>-119.66897</v>
      </c>
      <c r="AI20" s="7" t="n">
        <v>-142.36619</v>
      </c>
      <c r="AJ20" s="7" t="n">
        <v>-139.31808</v>
      </c>
      <c r="AK20" s="7" t="n">
        <v>-146.85811</v>
      </c>
    </row>
    <row r="21">
      <c r="A21" s="6" t="inlineStr">
        <is>
          <t>Research and development</t>
        </is>
      </c>
      <c r="B21" s="7" t="n">
        <v>-184.60667</v>
      </c>
      <c r="C21" s="7" t="n">
        <v>-178.00675</v>
      </c>
      <c r="D21" s="7" t="n">
        <v>-187.43012</v>
      </c>
      <c r="E21" s="7" t="n">
        <v>-192.40586</v>
      </c>
      <c r="F21" s="7" t="n">
        <v>-183.65429</v>
      </c>
      <c r="G21" s="7" t="n">
        <v>-207.94082</v>
      </c>
      <c r="H21" s="7" t="n">
        <v>-198.73396</v>
      </c>
      <c r="I21" s="7" t="n">
        <v>-192.23889</v>
      </c>
      <c r="J21" s="7" t="n">
        <v>-204.43831</v>
      </c>
      <c r="K21" s="7" t="n">
        <v>-220.45012</v>
      </c>
      <c r="L21" s="7" t="n">
        <v>-217.44556</v>
      </c>
      <c r="M21" s="7" t="n">
        <v>-236.6516</v>
      </c>
      <c r="N21" s="7" t="n">
        <v>-192.95094</v>
      </c>
      <c r="O21" s="7" t="n">
        <v>-190.31178</v>
      </c>
      <c r="P21" s="7" t="n">
        <v>-201.74813</v>
      </c>
      <c r="Q21" s="7" t="n">
        <v>-214.65935</v>
      </c>
      <c r="R21" s="7" t="n">
        <v>-207.19885</v>
      </c>
      <c r="S21" s="7" t="n">
        <v>-224.43245</v>
      </c>
      <c r="T21" s="7" t="n">
        <v>-232.29602</v>
      </c>
      <c r="U21" s="7" t="n">
        <v>-232.48103</v>
      </c>
      <c r="V21" s="7" t="n">
        <v>-231.95638</v>
      </c>
      <c r="W21" s="7" t="n">
        <v>-265.7837</v>
      </c>
      <c r="X21" s="7" t="n">
        <v>-267.29824</v>
      </c>
      <c r="Y21" s="7" t="n">
        <v>-248.44764</v>
      </c>
      <c r="Z21" s="7" t="n">
        <v>-242.96524</v>
      </c>
      <c r="AA21" s="7" t="n">
        <v>-240.18891</v>
      </c>
      <c r="AB21" s="7" t="n">
        <v>-241.78023</v>
      </c>
      <c r="AC21" s="7" t="n">
        <v>-251.98252</v>
      </c>
      <c r="AD21" s="7" t="n">
        <v>-250.23143</v>
      </c>
      <c r="AE21" s="7" t="n">
        <v>-284.92765</v>
      </c>
      <c r="AF21" s="7" t="n">
        <v>-264.28444</v>
      </c>
      <c r="AG21" s="7" t="n">
        <v>-270.06018</v>
      </c>
      <c r="AH21" s="7" t="n">
        <v>-269.25518</v>
      </c>
      <c r="AI21" s="7" t="n">
        <v>-320.32393</v>
      </c>
      <c r="AJ21" s="7" t="n">
        <v>-313.46567</v>
      </c>
      <c r="AK21" s="7" t="n">
        <v>-330.43074</v>
      </c>
    </row>
    <row r="22">
      <c r="A22" s="6" t="inlineStr">
        <is>
          <t>Depreciation &amp; amortization</t>
        </is>
      </c>
      <c r="B22" s="7" t="n">
        <v>-61.53556</v>
      </c>
      <c r="C22" s="7" t="n">
        <v>-59.33558</v>
      </c>
      <c r="D22" s="7" t="n">
        <v>-62.47671</v>
      </c>
      <c r="E22" s="7" t="n">
        <v>-64.13529</v>
      </c>
      <c r="F22" s="7" t="n">
        <v>-61.2181</v>
      </c>
      <c r="G22" s="7" t="n">
        <v>-69.31361</v>
      </c>
      <c r="H22" s="7" t="n">
        <v>-66.24464999999999</v>
      </c>
      <c r="I22" s="7" t="n">
        <v>-64.07962999999999</v>
      </c>
      <c r="J22" s="7" t="n">
        <v>-68.1461</v>
      </c>
      <c r="K22" s="7" t="n">
        <v>-73.48336999999999</v>
      </c>
      <c r="L22" s="7" t="n">
        <v>-72.48185000000001</v>
      </c>
      <c r="M22" s="7" t="n">
        <v>-78.88387</v>
      </c>
      <c r="N22" s="7" t="n">
        <v>-64.31698</v>
      </c>
      <c r="O22" s="7" t="n">
        <v>-63.43726</v>
      </c>
      <c r="P22" s="7" t="n">
        <v>-67.24938</v>
      </c>
      <c r="Q22" s="7" t="n">
        <v>-71.55311999999999</v>
      </c>
      <c r="R22" s="7" t="n">
        <v>-69.06627999999999</v>
      </c>
      <c r="S22" s="7" t="n">
        <v>-74.81082000000001</v>
      </c>
      <c r="T22" s="7" t="n">
        <v>-77.43200999999999</v>
      </c>
      <c r="U22" s="7" t="n">
        <v>-77.49368</v>
      </c>
      <c r="V22" s="7" t="n">
        <v>-77.31878999999999</v>
      </c>
      <c r="W22" s="7" t="n">
        <v>-88.59457</v>
      </c>
      <c r="X22" s="7" t="n">
        <v>-89.09941000000001</v>
      </c>
      <c r="Y22" s="7" t="n">
        <v>-82.81588000000001</v>
      </c>
      <c r="Z22" s="7" t="n">
        <v>-80.98841</v>
      </c>
      <c r="AA22" s="7" t="n">
        <v>-80.06297000000001</v>
      </c>
      <c r="AB22" s="7" t="n">
        <v>-80.59341000000001</v>
      </c>
      <c r="AC22" s="7" t="n">
        <v>-83.99417</v>
      </c>
      <c r="AD22" s="7" t="n">
        <v>-83.41047999999999</v>
      </c>
      <c r="AE22" s="7" t="n">
        <v>-94.97588</v>
      </c>
      <c r="AF22" s="7" t="n">
        <v>-88.09481</v>
      </c>
      <c r="AG22" s="7" t="n">
        <v>-90.02006</v>
      </c>
      <c r="AH22" s="7" t="n">
        <v>-89.75172999999999</v>
      </c>
      <c r="AI22" s="7" t="n">
        <v>-106.77464</v>
      </c>
      <c r="AJ22" s="7" t="n">
        <v>-104.48856</v>
      </c>
      <c r="AK22" s="7" t="n">
        <v>-110.14358</v>
      </c>
    </row>
    <row r="23">
      <c r="A23" s="10" t="inlineStr">
        <is>
          <t>Total Operating Expenses</t>
        </is>
      </c>
      <c r="B23" s="7">
        <f>SUM(B18:B22)</f>
        <v/>
      </c>
      <c r="C23" s="7">
        <f>SUM(C18:C22)</f>
        <v/>
      </c>
      <c r="D23" s="7">
        <f>SUM(D18:D22)</f>
        <v/>
      </c>
      <c r="E23" s="7">
        <f>SUM(E18:E22)</f>
        <v/>
      </c>
      <c r="F23" s="7">
        <f>SUM(F18:F22)</f>
        <v/>
      </c>
      <c r="G23" s="7">
        <f>SUM(G18:G22)</f>
        <v/>
      </c>
      <c r="H23" s="7">
        <f>SUM(H18:H22)</f>
        <v/>
      </c>
      <c r="I23" s="7">
        <f>SUM(I18:I22)</f>
        <v/>
      </c>
      <c r="J23" s="7">
        <f>SUM(J18:J22)</f>
        <v/>
      </c>
      <c r="K23" s="7">
        <f>SUM(K18:K22)</f>
        <v/>
      </c>
      <c r="L23" s="7">
        <f>SUM(L18:L22)</f>
        <v/>
      </c>
      <c r="M23" s="7">
        <f>SUM(M18:M22)</f>
        <v/>
      </c>
      <c r="N23" s="7">
        <f>SUM(N18:N22)</f>
        <v/>
      </c>
      <c r="O23" s="7">
        <f>SUM(O18:O22)</f>
        <v/>
      </c>
      <c r="P23" s="7">
        <f>SUM(P18:P22)</f>
        <v/>
      </c>
      <c r="Q23" s="7">
        <f>SUM(Q18:Q22)</f>
        <v/>
      </c>
      <c r="R23" s="7">
        <f>SUM(R18:R22)</f>
        <v/>
      </c>
      <c r="S23" s="7">
        <f>SUM(S18:S22)</f>
        <v/>
      </c>
      <c r="T23" s="7">
        <f>SUM(T18:T22)</f>
        <v/>
      </c>
      <c r="U23" s="7">
        <f>SUM(U18:U22)</f>
        <v/>
      </c>
      <c r="V23" s="7">
        <f>SUM(V18:V22)</f>
        <v/>
      </c>
      <c r="W23" s="7">
        <f>SUM(W18:W22)</f>
        <v/>
      </c>
      <c r="X23" s="7">
        <f>SUM(X18:X22)</f>
        <v/>
      </c>
      <c r="Y23" s="7">
        <f>SUM(Y18:Y22)</f>
        <v/>
      </c>
      <c r="Z23" s="7">
        <f>SUM(Z18:Z22)</f>
        <v/>
      </c>
      <c r="AA23" s="7">
        <f>SUM(AA18:AA22)</f>
        <v/>
      </c>
      <c r="AB23" s="7">
        <f>SUM(AB18:AB22)</f>
        <v/>
      </c>
      <c r="AC23" s="7">
        <f>SUM(AC18:AC22)</f>
        <v/>
      </c>
      <c r="AD23" s="7">
        <f>SUM(AD18:AD22)</f>
        <v/>
      </c>
      <c r="AE23" s="7">
        <f>SUM(AE18:AE22)</f>
        <v/>
      </c>
      <c r="AF23" s="7">
        <f>SUM(AF18:AF22)</f>
        <v/>
      </c>
      <c r="AG23" s="7">
        <f>SUM(AG18:AG22)</f>
        <v/>
      </c>
      <c r="AH23" s="7">
        <f>SUM(AH18:AH22)</f>
        <v/>
      </c>
      <c r="AI23" s="7">
        <f>SUM(AI18:AI22)</f>
        <v/>
      </c>
      <c r="AJ23" s="7">
        <f>SUM(AJ18:AJ22)</f>
        <v/>
      </c>
      <c r="AK23" s="7">
        <f>SUM(AK18:AK22)</f>
        <v/>
      </c>
    </row>
    <row r="24">
      <c r="A24" s="9" t="inlineStr">
        <is>
          <t>Other Adjustments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6" t="inlineStr">
        <is>
          <t>Event revenue adjustment</t>
        </is>
      </c>
      <c r="B25" s="7" t="n">
        <v>-168.42933</v>
      </c>
      <c r="C25" s="7" t="n">
        <v>-0</v>
      </c>
      <c r="D25" s="7" t="n">
        <v>-74.63667</v>
      </c>
      <c r="E25" s="7" t="n">
        <v>-0</v>
      </c>
      <c r="F25" s="7" t="n">
        <v>-0</v>
      </c>
      <c r="G25" s="7" t="n">
        <v>-98.79474999999999</v>
      </c>
      <c r="H25" s="7" t="n">
        <v>-105.841</v>
      </c>
      <c r="I25" s="7" t="n">
        <v>-105.841</v>
      </c>
      <c r="J25" s="7" t="n">
        <v>-172.1425</v>
      </c>
      <c r="K25" s="7" t="n">
        <v>-105.841</v>
      </c>
      <c r="L25" s="7" t="n">
        <v>-105.841</v>
      </c>
      <c r="M25" s="7" t="n">
        <v>-141.63967</v>
      </c>
      <c r="N25" s="7" t="n">
        <v>-141.63967</v>
      </c>
      <c r="O25" s="7" t="n">
        <v>-103.48275</v>
      </c>
      <c r="P25" s="7" t="n">
        <v>-141.63967</v>
      </c>
      <c r="Q25" s="7" t="n">
        <v>-141.63967</v>
      </c>
      <c r="R25" s="7" t="n">
        <v>-141.63967</v>
      </c>
      <c r="S25" s="7" t="n">
        <v>-238.72208</v>
      </c>
      <c r="T25" s="7" t="n">
        <v>-370.17492</v>
      </c>
      <c r="U25" s="7" t="n">
        <v>-335.15492</v>
      </c>
      <c r="V25" s="7" t="n">
        <v>-393.92292</v>
      </c>
      <c r="W25" s="7" t="n">
        <v>-335.15492</v>
      </c>
      <c r="X25" s="7" t="n">
        <v>-367.61142</v>
      </c>
      <c r="Y25" s="7" t="n">
        <v>-335.15492</v>
      </c>
      <c r="Z25" s="7" t="n">
        <v>-335.15492</v>
      </c>
      <c r="AA25" s="7" t="n">
        <v>-335.15492</v>
      </c>
      <c r="AB25" s="7" t="n">
        <v>-416.68633</v>
      </c>
      <c r="AC25" s="7" t="n">
        <v>-416.68633</v>
      </c>
      <c r="AD25" s="7" t="n">
        <v>-488.43492</v>
      </c>
      <c r="AE25" s="7" t="n">
        <v>-641.63533</v>
      </c>
      <c r="AF25" s="7" t="n">
        <v>-488.43492</v>
      </c>
      <c r="AG25" s="7" t="n">
        <v>-488.43492</v>
      </c>
      <c r="AH25" s="7" t="n">
        <v>-488.43492</v>
      </c>
      <c r="AI25" s="7" t="n">
        <v>-488.43492</v>
      </c>
      <c r="AJ25" s="7" t="n">
        <v>-488.43492</v>
      </c>
      <c r="AK25" s="7" t="n">
        <v>-488.43492</v>
      </c>
    </row>
    <row r="26">
      <c r="A26" s="6" t="inlineStr">
        <is>
          <t>Event operating expense adjustment</t>
        </is>
      </c>
      <c r="B26" s="7" t="n">
        <v>-0</v>
      </c>
      <c r="C26" s="7" t="n">
        <v>-0</v>
      </c>
      <c r="D26" s="7" t="n">
        <v>-0</v>
      </c>
      <c r="E26" s="7" t="n">
        <v>-0</v>
      </c>
      <c r="F26" s="7" t="n">
        <v>-0</v>
      </c>
      <c r="G26" s="7" t="n">
        <v>-0</v>
      </c>
      <c r="H26" s="7" t="n">
        <v>-0</v>
      </c>
      <c r="I26" s="7" t="n">
        <v>-0</v>
      </c>
      <c r="J26" s="7" t="n">
        <v>-0</v>
      </c>
      <c r="K26" s="7" t="n">
        <v>-0</v>
      </c>
      <c r="L26" s="7" t="n">
        <v>-0</v>
      </c>
      <c r="M26" s="7" t="n">
        <v>-0</v>
      </c>
      <c r="N26" s="7" t="n">
        <v>-0</v>
      </c>
      <c r="O26" s="7" t="n">
        <v>-0</v>
      </c>
      <c r="P26" s="7" t="n">
        <v>-0</v>
      </c>
      <c r="Q26" s="7" t="n">
        <v>-0</v>
      </c>
      <c r="R26" s="7" t="n">
        <v>-0</v>
      </c>
      <c r="S26" s="7" t="n">
        <v>-0</v>
      </c>
      <c r="T26" s="7" t="n">
        <v>-0</v>
      </c>
      <c r="U26" s="7" t="n">
        <v>-0</v>
      </c>
      <c r="V26" s="7" t="n">
        <v>-0</v>
      </c>
      <c r="W26" s="7" t="n">
        <v>-0</v>
      </c>
      <c r="X26" s="7" t="n">
        <v>-0</v>
      </c>
      <c r="Y26" s="7" t="n">
        <v>-0</v>
      </c>
      <c r="Z26" s="7" t="n">
        <v>-0</v>
      </c>
      <c r="AA26" s="7" t="n">
        <v>-0</v>
      </c>
      <c r="AB26" s="7" t="n">
        <v>-0</v>
      </c>
      <c r="AC26" s="7" t="n">
        <v>-0</v>
      </c>
      <c r="AD26" s="7" t="n">
        <v>-0</v>
      </c>
      <c r="AE26" s="7" t="n">
        <v>-0</v>
      </c>
      <c r="AF26" s="7" t="n">
        <v>-0</v>
      </c>
      <c r="AG26" s="7" t="n">
        <v>-0</v>
      </c>
      <c r="AH26" s="7" t="n">
        <v>-0</v>
      </c>
      <c r="AI26" s="7" t="n">
        <v>-0</v>
      </c>
      <c r="AJ26" s="7" t="n">
        <v>-0</v>
      </c>
      <c r="AK26" s="7" t="n">
        <v>-0</v>
      </c>
    </row>
    <row r="27">
      <c r="A27" s="10" t="inlineStr">
        <is>
          <t>Total Other Adjustments</t>
        </is>
      </c>
      <c r="B27" s="7">
        <f>SUM(B25:B26)</f>
        <v/>
      </c>
      <c r="C27" s="7">
        <f>SUM(C25:C26)</f>
        <v/>
      </c>
      <c r="D27" s="7">
        <f>SUM(D25:D26)</f>
        <v/>
      </c>
      <c r="E27" s="7">
        <f>SUM(E25:E26)</f>
        <v/>
      </c>
      <c r="F27" s="7">
        <f>SUM(F25:F26)</f>
        <v/>
      </c>
      <c r="G27" s="7">
        <f>SUM(G25:G26)</f>
        <v/>
      </c>
      <c r="H27" s="7">
        <f>SUM(H25:H26)</f>
        <v/>
      </c>
      <c r="I27" s="7">
        <f>SUM(I25:I26)</f>
        <v/>
      </c>
      <c r="J27" s="7">
        <f>SUM(J25:J26)</f>
        <v/>
      </c>
      <c r="K27" s="7">
        <f>SUM(K25:K26)</f>
        <v/>
      </c>
      <c r="L27" s="7">
        <f>SUM(L25:L26)</f>
        <v/>
      </c>
      <c r="M27" s="7">
        <f>SUM(M25:M26)</f>
        <v/>
      </c>
      <c r="N27" s="7">
        <f>SUM(N25:N26)</f>
        <v/>
      </c>
      <c r="O27" s="7">
        <f>SUM(O25:O26)</f>
        <v/>
      </c>
      <c r="P27" s="7">
        <f>SUM(P25:P26)</f>
        <v/>
      </c>
      <c r="Q27" s="7">
        <f>SUM(Q25:Q26)</f>
        <v/>
      </c>
      <c r="R27" s="7">
        <f>SUM(R25:R26)</f>
        <v/>
      </c>
      <c r="S27" s="7">
        <f>SUM(S25:S26)</f>
        <v/>
      </c>
      <c r="T27" s="7">
        <f>SUM(T25:T26)</f>
        <v/>
      </c>
      <c r="U27" s="7">
        <f>SUM(U25:U26)</f>
        <v/>
      </c>
      <c r="V27" s="7">
        <f>SUM(V25:V26)</f>
        <v/>
      </c>
      <c r="W27" s="7">
        <f>SUM(W25:W26)</f>
        <v/>
      </c>
      <c r="X27" s="7">
        <f>SUM(X25:X26)</f>
        <v/>
      </c>
      <c r="Y27" s="7">
        <f>SUM(Y25:Y26)</f>
        <v/>
      </c>
      <c r="Z27" s="7">
        <f>SUM(Z25:Z26)</f>
        <v/>
      </c>
      <c r="AA27" s="7">
        <f>SUM(AA25:AA26)</f>
        <v/>
      </c>
      <c r="AB27" s="7">
        <f>SUM(AB25:AB26)</f>
        <v/>
      </c>
      <c r="AC27" s="7">
        <f>SUM(AC25:AC26)</f>
        <v/>
      </c>
      <c r="AD27" s="7">
        <f>SUM(AD25:AD26)</f>
        <v/>
      </c>
      <c r="AE27" s="7">
        <f>SUM(AE25:AE26)</f>
        <v/>
      </c>
      <c r="AF27" s="7">
        <f>SUM(AF25:AF26)</f>
        <v/>
      </c>
      <c r="AG27" s="7">
        <f>SUM(AG25:AG26)</f>
        <v/>
      </c>
      <c r="AH27" s="7">
        <f>SUM(AH25:AH26)</f>
        <v/>
      </c>
      <c r="AI27" s="7">
        <f>SUM(AI25:AI26)</f>
        <v/>
      </c>
      <c r="AJ27" s="7">
        <f>SUM(AJ25:AJ26)</f>
        <v/>
      </c>
      <c r="AK27" s="7">
        <f>SUM(AK25:AK26)</f>
        <v/>
      </c>
    </row>
    <row r="28">
      <c r="A28" s="8" t="inlineStr">
        <is>
          <t>Net Income</t>
        </is>
      </c>
      <c r="B28" s="11">
        <f>B10+B16+B23+B27</f>
        <v/>
      </c>
      <c r="C28" s="11">
        <f>C10+C16+C23+C27</f>
        <v/>
      </c>
      <c r="D28" s="11">
        <f>D10+D16+D23+D27</f>
        <v/>
      </c>
      <c r="E28" s="11">
        <f>E10+E16+E23+E27</f>
        <v/>
      </c>
      <c r="F28" s="11">
        <f>F10+F16+F23+F27</f>
        <v/>
      </c>
      <c r="G28" s="11">
        <f>G10+G16+G23+G27</f>
        <v/>
      </c>
      <c r="H28" s="11">
        <f>H10+H16+H23+H27</f>
        <v/>
      </c>
      <c r="I28" s="11">
        <f>I10+I16+I23+I27</f>
        <v/>
      </c>
      <c r="J28" s="11">
        <f>J10+J16+J23+J27</f>
        <v/>
      </c>
      <c r="K28" s="11">
        <f>K10+K16+K23+K27</f>
        <v/>
      </c>
      <c r="L28" s="11">
        <f>L10+L16+L23+L27</f>
        <v/>
      </c>
      <c r="M28" s="11">
        <f>M10+M16+M23+M27</f>
        <v/>
      </c>
      <c r="N28" s="11">
        <f>N10+N16+N23+N27</f>
        <v/>
      </c>
      <c r="O28" s="11">
        <f>O10+O16+O23+O27</f>
        <v/>
      </c>
      <c r="P28" s="11">
        <f>P10+P16+P23+P27</f>
        <v/>
      </c>
      <c r="Q28" s="11">
        <f>Q10+Q16+Q23+Q27</f>
        <v/>
      </c>
      <c r="R28" s="11">
        <f>R10+R16+R23+R27</f>
        <v/>
      </c>
      <c r="S28" s="11">
        <f>S10+S16+S23+S27</f>
        <v/>
      </c>
      <c r="T28" s="11">
        <f>T10+T16+T23+T27</f>
        <v/>
      </c>
      <c r="U28" s="11">
        <f>U10+U16+U23+U27</f>
        <v/>
      </c>
      <c r="V28" s="11">
        <f>V10+V16+V23+V27</f>
        <v/>
      </c>
      <c r="W28" s="11">
        <f>W10+W16+W23+W27</f>
        <v/>
      </c>
      <c r="X28" s="11">
        <f>X10+X16+X23+X27</f>
        <v/>
      </c>
      <c r="Y28" s="11">
        <f>Y10+Y16+Y23+Y27</f>
        <v/>
      </c>
      <c r="Z28" s="11">
        <f>Z10+Z16+Z23+Z27</f>
        <v/>
      </c>
      <c r="AA28" s="11">
        <f>AA10+AA16+AA23+AA27</f>
        <v/>
      </c>
      <c r="AB28" s="11">
        <f>AB10+AB16+AB23+AB27</f>
        <v/>
      </c>
      <c r="AC28" s="11">
        <f>AC10+AC16+AC23+AC27</f>
        <v/>
      </c>
      <c r="AD28" s="11">
        <f>AD10+AD16+AD23+AD27</f>
        <v/>
      </c>
      <c r="AE28" s="11">
        <f>AE10+AE16+AE23+AE27</f>
        <v/>
      </c>
      <c r="AF28" s="11">
        <f>AF10+AF16+AF23+AF27</f>
        <v/>
      </c>
      <c r="AG28" s="11">
        <f>AG10+AG16+AG23+AG27</f>
        <v/>
      </c>
      <c r="AH28" s="11">
        <f>AH10+AH16+AH23+AH27</f>
        <v/>
      </c>
      <c r="AI28" s="11">
        <f>AI10+AI16+AI23+AI27</f>
        <v/>
      </c>
      <c r="AJ28" s="11">
        <f>AJ10+AJ16+AJ23+AJ27</f>
        <v/>
      </c>
      <c r="AK28" s="11">
        <f>AK10+AK16+AK23+AK27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2" customWidth="1" min="38" max="38"/>
  </cols>
  <sheetData>
    <row r="1">
      <c r="A1" s="4" t="inlineStr">
        <is>
          <t>Combined | BS</t>
        </is>
      </c>
    </row>
    <row r="2">
      <c r="A2" t="inlineStr">
        <is>
          <t>As at period-end dates | Units: $'000</t>
        </is>
      </c>
    </row>
    <row r="4">
      <c r="A4" s="1" t="inlineStr">
        <is>
          <t>Line item</t>
        </is>
      </c>
      <c r="B4" s="12" t="n">
        <v>44957</v>
      </c>
      <c r="C4" s="12" t="n">
        <v>44985</v>
      </c>
      <c r="D4" s="12" t="n">
        <v>45016</v>
      </c>
      <c r="E4" s="12" t="n">
        <v>45046</v>
      </c>
      <c r="F4" s="12" t="n">
        <v>45077</v>
      </c>
      <c r="G4" s="12" t="n">
        <v>45107</v>
      </c>
      <c r="H4" s="12" t="n">
        <v>45138</v>
      </c>
      <c r="I4" s="12" t="n">
        <v>45169</v>
      </c>
      <c r="J4" s="12" t="n">
        <v>45199</v>
      </c>
      <c r="K4" s="12" t="n">
        <v>45230</v>
      </c>
      <c r="L4" s="12" t="n">
        <v>45260</v>
      </c>
      <c r="M4" s="12" t="n">
        <v>45291</v>
      </c>
      <c r="N4" s="12" t="n">
        <v>45322</v>
      </c>
      <c r="O4" s="12" t="n">
        <v>45351</v>
      </c>
      <c r="P4" s="12" t="n">
        <v>45382</v>
      </c>
      <c r="Q4" s="12" t="n">
        <v>45412</v>
      </c>
      <c r="R4" s="12" t="n">
        <v>45443</v>
      </c>
      <c r="S4" s="12" t="n">
        <v>45473</v>
      </c>
      <c r="T4" s="12" t="n">
        <v>45504</v>
      </c>
      <c r="U4" s="12" t="n">
        <v>45535</v>
      </c>
      <c r="V4" s="12" t="n">
        <v>45565</v>
      </c>
      <c r="W4" s="12" t="n">
        <v>45596</v>
      </c>
      <c r="X4" s="12" t="n">
        <v>45626</v>
      </c>
      <c r="Y4" s="12" t="n">
        <v>45657</v>
      </c>
      <c r="Z4" s="12" t="n">
        <v>45688</v>
      </c>
      <c r="AA4" s="12" t="n">
        <v>45716</v>
      </c>
      <c r="AB4" s="12" t="n">
        <v>45747</v>
      </c>
      <c r="AC4" s="12" t="n">
        <v>45777</v>
      </c>
      <c r="AD4" s="12" t="n">
        <v>45808</v>
      </c>
      <c r="AE4" s="12" t="n">
        <v>45838</v>
      </c>
      <c r="AF4" s="12" t="n">
        <v>45869</v>
      </c>
      <c r="AG4" s="12" t="n">
        <v>45900</v>
      </c>
      <c r="AH4" s="12" t="n">
        <v>45930</v>
      </c>
      <c r="AI4" s="12" t="n">
        <v>45961</v>
      </c>
      <c r="AJ4" s="12" t="n">
        <v>45991</v>
      </c>
      <c r="AK4" s="12" t="n">
        <v>46022</v>
      </c>
      <c r="AL4" s="5" t="inlineStr">
        <is>
          <t>Average</t>
        </is>
      </c>
    </row>
    <row r="5">
      <c r="A5" s="9" t="inlineStr">
        <is>
          <t>Assets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</row>
    <row r="6">
      <c r="A6" s="6" t="inlineStr">
        <is>
          <t>Cash and cash equivalents</t>
        </is>
      </c>
      <c r="B6" s="7" t="n">
        <v>41.0237</v>
      </c>
      <c r="C6" s="7" t="n">
        <v>39.55706</v>
      </c>
      <c r="D6" s="7" t="n">
        <v>41.65114</v>
      </c>
      <c r="E6" s="7" t="n">
        <v>42.75686</v>
      </c>
      <c r="F6" s="7" t="n">
        <v>40.81207</v>
      </c>
      <c r="G6" s="7" t="n">
        <v>46.20907</v>
      </c>
      <c r="H6" s="7" t="n">
        <v>44.1631</v>
      </c>
      <c r="I6" s="7" t="n">
        <v>42.71975</v>
      </c>
      <c r="J6" s="7" t="n">
        <v>45.43074</v>
      </c>
      <c r="K6" s="7" t="n">
        <v>48.98891</v>
      </c>
      <c r="L6" s="7" t="n">
        <v>790.0230300000001</v>
      </c>
      <c r="M6" s="7" t="n">
        <v>597.7594</v>
      </c>
      <c r="N6" s="7" t="n">
        <v>1776.54104</v>
      </c>
      <c r="O6" s="7" t="n">
        <v>2119.57837</v>
      </c>
      <c r="P6" s="7" t="n">
        <v>2783.98556</v>
      </c>
      <c r="Q6" s="7" t="n">
        <v>2889.53326</v>
      </c>
      <c r="R6" s="7" t="n">
        <v>3539.30377</v>
      </c>
      <c r="S6" s="7" t="n">
        <v>3655.46708</v>
      </c>
      <c r="T6" s="7" t="n">
        <v>4442.62442</v>
      </c>
      <c r="U6" s="7" t="n">
        <v>4272.56225</v>
      </c>
      <c r="V6" s="7" t="n">
        <v>5042.78054</v>
      </c>
      <c r="W6" s="7" t="n">
        <v>5840.21555</v>
      </c>
      <c r="X6" s="7" t="n">
        <v>5841.4812</v>
      </c>
      <c r="Y6" s="7" t="n">
        <v>7373.2155</v>
      </c>
      <c r="Z6" s="7" t="n">
        <v>7460.901269999999</v>
      </c>
      <c r="AA6" s="7" t="n">
        <v>8124.17274</v>
      </c>
      <c r="AB6" s="7" t="n">
        <v>8483.836439999999</v>
      </c>
      <c r="AC6" s="7" t="n">
        <v>9180.881429999999</v>
      </c>
      <c r="AD6" s="7" t="n">
        <v>9134.46019</v>
      </c>
      <c r="AE6" s="7" t="n">
        <v>10236.0067</v>
      </c>
      <c r="AF6" s="7" t="n">
        <v>10739.49883</v>
      </c>
      <c r="AG6" s="7" t="n">
        <v>10865.23063</v>
      </c>
      <c r="AH6" s="7" t="n">
        <v>11564.41484</v>
      </c>
      <c r="AI6" s="7" t="n">
        <v>11204.13305</v>
      </c>
      <c r="AJ6" s="7" t="n">
        <v>12901.04155</v>
      </c>
      <c r="AK6" s="7" t="n">
        <v>14066.2359</v>
      </c>
      <c r="AL6" s="7">
        <f>AVERAGE(B6:AK6)</f>
        <v/>
      </c>
    </row>
    <row r="7" ht="19.5" customHeight="1">
      <c r="A7" s="6" t="inlineStr">
        <is>
          <t>Accounts receivable</t>
        </is>
      </c>
      <c r="B7" s="7" t="n">
        <v>2859.86761</v>
      </c>
      <c r="C7" s="7" t="n">
        <v>3284.30242</v>
      </c>
      <c r="D7" s="7" t="n">
        <v>2780.94147</v>
      </c>
      <c r="E7" s="7" t="n">
        <v>2960.21909</v>
      </c>
      <c r="F7" s="7" t="n">
        <v>3381.77701</v>
      </c>
      <c r="G7" s="7" t="n">
        <v>3623.14416</v>
      </c>
      <c r="H7" s="7" t="n">
        <v>3167.5042</v>
      </c>
      <c r="I7" s="7" t="n">
        <v>2895.57818</v>
      </c>
      <c r="J7" s="7" t="n">
        <v>3777.88855</v>
      </c>
      <c r="K7" s="7" t="n">
        <v>3683.07853</v>
      </c>
      <c r="L7" s="7" t="n">
        <v>3457.88289</v>
      </c>
      <c r="M7" s="7" t="n">
        <v>3950.09546</v>
      </c>
      <c r="N7" s="7" t="n">
        <v>2935.32274</v>
      </c>
      <c r="O7" s="7" t="n">
        <v>3115.59604</v>
      </c>
      <c r="P7" s="7" t="n">
        <v>3049.85876</v>
      </c>
      <c r="Q7" s="7" t="n">
        <v>3484.45639</v>
      </c>
      <c r="R7" s="7" t="n">
        <v>3388.05069</v>
      </c>
      <c r="S7" s="7" t="n">
        <v>3591.19233</v>
      </c>
      <c r="T7" s="7" t="n">
        <v>3566.59866</v>
      </c>
      <c r="U7" s="7" t="n">
        <v>4162.72142</v>
      </c>
      <c r="V7" s="7" t="n">
        <v>3804.97201</v>
      </c>
      <c r="W7" s="7" t="n">
        <v>4271.64296</v>
      </c>
      <c r="X7" s="7" t="n">
        <v>4900.90637</v>
      </c>
      <c r="Y7" s="7" t="n">
        <v>3750.47966</v>
      </c>
      <c r="Z7" s="7" t="n">
        <v>3814.69761</v>
      </c>
      <c r="AA7" s="7" t="n">
        <v>4032.36124</v>
      </c>
      <c r="AB7" s="7" t="n">
        <v>4215.050450000001</v>
      </c>
      <c r="AC7" s="7" t="n">
        <v>4121.44168</v>
      </c>
      <c r="AD7" s="7" t="n">
        <v>4531.51754</v>
      </c>
      <c r="AE7" s="7" t="n">
        <v>4352.5173</v>
      </c>
      <c r="AF7" s="7" t="n">
        <v>4449.57704</v>
      </c>
      <c r="AG7" s="7" t="n">
        <v>4758.999599999999</v>
      </c>
      <c r="AH7" s="7" t="n">
        <v>4434.02778</v>
      </c>
      <c r="AI7" s="7" t="n">
        <v>5913.684730000001</v>
      </c>
      <c r="AJ7" s="7" t="n">
        <v>5286.7415</v>
      </c>
      <c r="AK7" s="7" t="n">
        <v>4983.244900000001</v>
      </c>
      <c r="AL7" s="7">
        <f>AVERAGE(B7:AK7)</f>
        <v/>
      </c>
    </row>
    <row r="8">
      <c r="A8" s="6" t="inlineStr">
        <is>
          <t>Prepaid expenses</t>
        </is>
      </c>
      <c r="B8" s="7" t="n">
        <v>41.0237</v>
      </c>
      <c r="C8" s="7" t="n">
        <v>39.55706</v>
      </c>
      <c r="D8" s="7" t="n">
        <v>41.65114</v>
      </c>
      <c r="E8" s="7" t="n">
        <v>42.75686</v>
      </c>
      <c r="F8" s="7" t="n">
        <v>40.81207</v>
      </c>
      <c r="G8" s="7" t="n">
        <v>46.20907</v>
      </c>
      <c r="H8" s="7" t="n">
        <v>44.1631</v>
      </c>
      <c r="I8" s="7" t="n">
        <v>42.71975</v>
      </c>
      <c r="J8" s="7" t="n">
        <v>45.43074</v>
      </c>
      <c r="K8" s="7" t="n">
        <v>48.98891</v>
      </c>
      <c r="L8" s="7" t="n">
        <v>48.32124</v>
      </c>
      <c r="M8" s="7" t="n">
        <v>52.58924</v>
      </c>
      <c r="N8" s="7" t="n">
        <v>42.87799</v>
      </c>
      <c r="O8" s="7" t="n">
        <v>42.29151</v>
      </c>
      <c r="P8" s="7" t="n">
        <v>44.83292</v>
      </c>
      <c r="Q8" s="7" t="n">
        <v>47.70208</v>
      </c>
      <c r="R8" s="7" t="n">
        <v>46.04419</v>
      </c>
      <c r="S8" s="7" t="n">
        <v>49.87388</v>
      </c>
      <c r="T8" s="7" t="n">
        <v>51.62134</v>
      </c>
      <c r="U8" s="7" t="n">
        <v>51.66245</v>
      </c>
      <c r="V8" s="7" t="n">
        <v>51.54586</v>
      </c>
      <c r="W8" s="7" t="n">
        <v>59.06304</v>
      </c>
      <c r="X8" s="7" t="n">
        <v>59.39961</v>
      </c>
      <c r="Y8" s="7" t="n">
        <v>55.21059</v>
      </c>
      <c r="Z8" s="7" t="n">
        <v>53.99228</v>
      </c>
      <c r="AA8" s="7" t="n">
        <v>53.37531</v>
      </c>
      <c r="AB8" s="7" t="n">
        <v>53.72894</v>
      </c>
      <c r="AC8" s="7" t="n">
        <v>55.99612</v>
      </c>
      <c r="AD8" s="7" t="n">
        <v>55.60698</v>
      </c>
      <c r="AE8" s="7" t="n">
        <v>63.31726</v>
      </c>
      <c r="AF8" s="7" t="n">
        <v>58.72987999999999</v>
      </c>
      <c r="AG8" s="7" t="n">
        <v>60.01337</v>
      </c>
      <c r="AH8" s="7" t="n">
        <v>59.83449</v>
      </c>
      <c r="AI8" s="7" t="n">
        <v>71.18310000000001</v>
      </c>
      <c r="AJ8" s="7" t="n">
        <v>69.65903999999999</v>
      </c>
      <c r="AK8" s="7" t="n">
        <v>73.42905</v>
      </c>
      <c r="AL8" s="7">
        <f>AVERAGE(B8:AK8)</f>
        <v/>
      </c>
    </row>
    <row r="9">
      <c r="A9" s="6" t="inlineStr">
        <is>
          <t>Fixed assets, gross</t>
        </is>
      </c>
      <c r="B9" s="7" t="n">
        <v>3545.58897</v>
      </c>
      <c r="C9" s="7" t="n">
        <v>3552.68014</v>
      </c>
      <c r="D9" s="7" t="n">
        <v>3559.77132</v>
      </c>
      <c r="E9" s="7" t="n">
        <v>3566.8625</v>
      </c>
      <c r="F9" s="7" t="n">
        <v>3573.95368</v>
      </c>
      <c r="G9" s="7" t="n">
        <v>3581.04486</v>
      </c>
      <c r="H9" s="7" t="n">
        <v>3588.13603</v>
      </c>
      <c r="I9" s="7" t="n">
        <v>3595.22721</v>
      </c>
      <c r="J9" s="7" t="n">
        <v>3602.31839</v>
      </c>
      <c r="K9" s="7" t="n">
        <v>3609.40957</v>
      </c>
      <c r="L9" s="7" t="n">
        <v>3616.50075</v>
      </c>
      <c r="M9" s="7" t="n">
        <v>3623.59192</v>
      </c>
      <c r="N9" s="7" t="n">
        <v>3630.6831</v>
      </c>
      <c r="O9" s="7" t="n">
        <v>3637.77428</v>
      </c>
      <c r="P9" s="7" t="n">
        <v>3644.86546</v>
      </c>
      <c r="Q9" s="7" t="n">
        <v>3651.95663</v>
      </c>
      <c r="R9" s="7" t="n">
        <v>3659.04781</v>
      </c>
      <c r="S9" s="7" t="n">
        <v>3666.13899</v>
      </c>
      <c r="T9" s="7" t="n">
        <v>3673.23017</v>
      </c>
      <c r="U9" s="7" t="n">
        <v>3680.32135</v>
      </c>
      <c r="V9" s="7" t="n">
        <v>3687.41252</v>
      </c>
      <c r="W9" s="7" t="n">
        <v>3694.5037</v>
      </c>
      <c r="X9" s="7" t="n">
        <v>3701.59488</v>
      </c>
      <c r="Y9" s="7" t="n">
        <v>3708.68606</v>
      </c>
      <c r="Z9" s="7" t="n">
        <v>3715.77724</v>
      </c>
      <c r="AA9" s="7" t="n">
        <v>3722.86841</v>
      </c>
      <c r="AB9" s="7" t="n">
        <v>3729.95959</v>
      </c>
      <c r="AC9" s="7" t="n">
        <v>3737.05077</v>
      </c>
      <c r="AD9" s="7" t="n">
        <v>3744.14195</v>
      </c>
      <c r="AE9" s="7" t="n">
        <v>3751.23313</v>
      </c>
      <c r="AF9" s="7" t="n">
        <v>3758.3243</v>
      </c>
      <c r="AG9" s="7" t="n">
        <v>3765.41548</v>
      </c>
      <c r="AH9" s="7" t="n">
        <v>3772.50666</v>
      </c>
      <c r="AI9" s="7" t="n">
        <v>3779.59784</v>
      </c>
      <c r="AJ9" s="7" t="n">
        <v>3786.68902</v>
      </c>
      <c r="AK9" s="7" t="n">
        <v>3793.78019</v>
      </c>
      <c r="AL9" s="7">
        <f>AVERAGE(B9:AK9)</f>
        <v/>
      </c>
    </row>
    <row r="10">
      <c r="A10" s="6" t="inlineStr">
        <is>
          <t>Accumulated depreciation</t>
        </is>
      </c>
      <c r="B10" s="7" t="n">
        <v>-29.54657</v>
      </c>
      <c r="C10" s="7" t="n">
        <v>-59.21134</v>
      </c>
      <c r="D10" s="7" t="n">
        <v>-88.99428</v>
      </c>
      <c r="E10" s="7" t="n">
        <v>-118.89542</v>
      </c>
      <c r="F10" s="7" t="n">
        <v>-148.91474</v>
      </c>
      <c r="G10" s="7" t="n">
        <v>-179.05224</v>
      </c>
      <c r="H10" s="7" t="n">
        <v>-209.30794</v>
      </c>
      <c r="I10" s="7" t="n">
        <v>-239.68181</v>
      </c>
      <c r="J10" s="7" t="n">
        <v>-270.17388</v>
      </c>
      <c r="K10" s="7" t="n">
        <v>-300.78413</v>
      </c>
      <c r="L10" s="7" t="n">
        <v>-331.51257</v>
      </c>
      <c r="M10" s="7" t="n">
        <v>-362.35919</v>
      </c>
      <c r="N10" s="7" t="n">
        <v>-393.324</v>
      </c>
      <c r="O10" s="7" t="n">
        <v>-424.407</v>
      </c>
      <c r="P10" s="7" t="n">
        <v>-455.60818</v>
      </c>
      <c r="Q10" s="7" t="n">
        <v>-486.92755</v>
      </c>
      <c r="R10" s="7" t="n">
        <v>-518.36511</v>
      </c>
      <c r="S10" s="7" t="n">
        <v>-549.92085</v>
      </c>
      <c r="T10" s="7" t="n">
        <v>-581.59478</v>
      </c>
      <c r="U10" s="7" t="n">
        <v>-613.38689</v>
      </c>
      <c r="V10" s="7" t="n">
        <v>-645.29719</v>
      </c>
      <c r="W10" s="7" t="n">
        <v>-677.32568</v>
      </c>
      <c r="X10" s="7" t="n">
        <v>-709.47235</v>
      </c>
      <c r="Y10" s="7" t="n">
        <v>-741.73721</v>
      </c>
      <c r="Z10" s="7" t="n">
        <v>-774.12026</v>
      </c>
      <c r="AA10" s="7" t="n">
        <v>-806.62149</v>
      </c>
      <c r="AB10" s="7" t="n">
        <v>-839.24091</v>
      </c>
      <c r="AC10" s="7" t="n">
        <v>-871.97851</v>
      </c>
      <c r="AD10" s="7" t="n">
        <v>-904.8343000000001</v>
      </c>
      <c r="AE10" s="7" t="n">
        <v>-937.8082800000001</v>
      </c>
      <c r="AF10" s="7" t="n">
        <v>-970.90045</v>
      </c>
      <c r="AG10" s="7" t="n">
        <v>-1004.1108</v>
      </c>
      <c r="AH10" s="7" t="n">
        <v>-1037.43933</v>
      </c>
      <c r="AI10" s="7" t="n">
        <v>-1070.88605</v>
      </c>
      <c r="AJ10" s="7" t="n">
        <v>-1104.45096</v>
      </c>
      <c r="AK10" s="7" t="n">
        <v>-1138.13406</v>
      </c>
      <c r="AL10" s="7">
        <f>AVERAGE(B10:AK10)</f>
        <v/>
      </c>
    </row>
    <row r="11">
      <c r="A11" s="10" t="inlineStr">
        <is>
          <t>Total Assets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SUM(Z6:Z10)</f>
        <v/>
      </c>
      <c r="AA11" s="7">
        <f>SUM(AA6:AA10)</f>
        <v/>
      </c>
      <c r="AB11" s="7">
        <f>SUM(AB6:AB10)</f>
        <v/>
      </c>
      <c r="AC11" s="7">
        <f>SUM(AC6:AC10)</f>
        <v/>
      </c>
      <c r="AD11" s="7">
        <f>SUM(AD6:AD10)</f>
        <v/>
      </c>
      <c r="AE11" s="7">
        <f>SUM(AE6:AE10)</f>
        <v/>
      </c>
      <c r="AF11" s="7">
        <f>SUM(AF6:AF10)</f>
        <v/>
      </c>
      <c r="AG11" s="7">
        <f>SUM(AG6:AG10)</f>
        <v/>
      </c>
      <c r="AH11" s="7">
        <f>SUM(AH6:AH10)</f>
        <v/>
      </c>
      <c r="AI11" s="7">
        <f>SUM(AI6:AI10)</f>
        <v/>
      </c>
      <c r="AJ11" s="7">
        <f>SUM(AJ6:AJ10)</f>
        <v/>
      </c>
      <c r="AK11" s="7">
        <f>SUM(AK6:AK10)</f>
        <v/>
      </c>
      <c r="AL11" s="7">
        <f>AVERAGE(B11:AK11)</f>
        <v/>
      </c>
    </row>
    <row r="12">
      <c r="A12" s="9" t="inlineStr">
        <is>
          <t>Liabilities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</row>
    <row r="13">
      <c r="A13" s="6" t="inlineStr">
        <is>
          <t>Accounts payable</t>
        </is>
      </c>
      <c r="B13" s="7" t="n">
        <v>-1199.68444</v>
      </c>
      <c r="C13" s="7" t="n">
        <v>-969.87409</v>
      </c>
      <c r="D13" s="7" t="n">
        <v>-1260.05462</v>
      </c>
      <c r="E13" s="7" t="n">
        <v>-1396.97815</v>
      </c>
      <c r="F13" s="7" t="n">
        <v>-981.91702</v>
      </c>
      <c r="G13" s="7" t="n">
        <v>-1272.99863</v>
      </c>
      <c r="H13" s="7" t="n">
        <v>-1393.75567</v>
      </c>
      <c r="I13" s="7" t="n">
        <v>-1161.44431</v>
      </c>
      <c r="J13" s="7" t="n">
        <v>-1447.00018</v>
      </c>
      <c r="K13" s="7" t="n">
        <v>-1266.45703</v>
      </c>
      <c r="L13" s="7" t="n">
        <v>-1558.30282</v>
      </c>
      <c r="M13" s="7" t="n">
        <v>-1314.20608</v>
      </c>
      <c r="N13" s="7" t="n">
        <v>-1069.70258</v>
      </c>
      <c r="O13" s="7" t="n">
        <v>-1162.66779</v>
      </c>
      <c r="P13" s="7" t="n">
        <v>-1296.9658</v>
      </c>
      <c r="Q13" s="7" t="n">
        <v>-1343.95042</v>
      </c>
      <c r="R13" s="7" t="n">
        <v>-1433.61609</v>
      </c>
      <c r="S13" s="7" t="n">
        <v>-1235.68448</v>
      </c>
      <c r="T13" s="7" t="n">
        <v>-1470.2771</v>
      </c>
      <c r="U13" s="7" t="n">
        <v>-1372.97077</v>
      </c>
      <c r="V13" s="7" t="n">
        <v>-1263.55272</v>
      </c>
      <c r="W13" s="7" t="n">
        <v>-1910.21146</v>
      </c>
      <c r="X13" s="7" t="n">
        <v>-1941.4691</v>
      </c>
      <c r="Y13" s="7" t="n">
        <v>-1777.38792</v>
      </c>
      <c r="Z13" s="7" t="n">
        <v>-1386.62923</v>
      </c>
      <c r="AA13" s="7" t="n">
        <v>-1728.93339</v>
      </c>
      <c r="AB13" s="7" t="n">
        <v>-1726.2129</v>
      </c>
      <c r="AC13" s="7" t="n">
        <v>-1756.83866</v>
      </c>
      <c r="AD13" s="7" t="n">
        <v>-1559.28865</v>
      </c>
      <c r="AE13" s="7" t="n">
        <v>-1821.80981</v>
      </c>
      <c r="AF13" s="7" t="n">
        <v>-1843.37954</v>
      </c>
      <c r="AG13" s="7" t="n">
        <v>-1669.43517</v>
      </c>
      <c r="AH13" s="7" t="n">
        <v>-1440.54408</v>
      </c>
      <c r="AI13" s="7" t="n">
        <v>-1812.60098</v>
      </c>
      <c r="AJ13" s="7" t="n">
        <v>-2188.45498</v>
      </c>
      <c r="AK13" s="7" t="n">
        <v>-2303.6604</v>
      </c>
      <c r="AL13" s="7">
        <f>AVERAGE(B13:AK13)</f>
        <v/>
      </c>
    </row>
    <row r="14">
      <c r="A14" s="6" t="inlineStr">
        <is>
          <t>Accrued expenses</t>
        </is>
      </c>
      <c r="B14" s="7" t="n">
        <v>-61.53556</v>
      </c>
      <c r="C14" s="7" t="n">
        <v>-59.33558</v>
      </c>
      <c r="D14" s="7" t="n">
        <v>-62.47671</v>
      </c>
      <c r="E14" s="7" t="n">
        <v>-64.13529</v>
      </c>
      <c r="F14" s="7" t="n">
        <v>-61.2181</v>
      </c>
      <c r="G14" s="7" t="n">
        <v>-69.31361</v>
      </c>
      <c r="H14" s="7" t="n">
        <v>-66.24464999999999</v>
      </c>
      <c r="I14" s="7" t="n">
        <v>-64.07962999999999</v>
      </c>
      <c r="J14" s="7" t="n">
        <v>-68.1461</v>
      </c>
      <c r="K14" s="7" t="n">
        <v>-73.48336999999999</v>
      </c>
      <c r="L14" s="7" t="n">
        <v>-72.48185000000001</v>
      </c>
      <c r="M14" s="7" t="n">
        <v>-78.88387</v>
      </c>
      <c r="N14" s="7" t="n">
        <v>-64.31698</v>
      </c>
      <c r="O14" s="7" t="n">
        <v>-63.43726</v>
      </c>
      <c r="P14" s="7" t="n">
        <v>-67.24938</v>
      </c>
      <c r="Q14" s="7" t="n">
        <v>-71.55311999999999</v>
      </c>
      <c r="R14" s="7" t="n">
        <v>-69.06627999999999</v>
      </c>
      <c r="S14" s="7" t="n">
        <v>-74.81082000000001</v>
      </c>
      <c r="T14" s="7" t="n">
        <v>-77.43200999999999</v>
      </c>
      <c r="U14" s="7" t="n">
        <v>-77.49368</v>
      </c>
      <c r="V14" s="7" t="n">
        <v>-77.31878999999999</v>
      </c>
      <c r="W14" s="7" t="n">
        <v>-88.59457</v>
      </c>
      <c r="X14" s="7" t="n">
        <v>-89.09941000000001</v>
      </c>
      <c r="Y14" s="7" t="n">
        <v>-82.81588000000001</v>
      </c>
      <c r="Z14" s="7" t="n">
        <v>-80.98841</v>
      </c>
      <c r="AA14" s="7" t="n">
        <v>-80.06297000000001</v>
      </c>
      <c r="AB14" s="7" t="n">
        <v>-80.59341000000001</v>
      </c>
      <c r="AC14" s="7" t="n">
        <v>-83.99417</v>
      </c>
      <c r="AD14" s="7" t="n">
        <v>-83.41047999999999</v>
      </c>
      <c r="AE14" s="7" t="n">
        <v>-94.97588</v>
      </c>
      <c r="AF14" s="7" t="n">
        <v>-88.09481</v>
      </c>
      <c r="AG14" s="7" t="n">
        <v>-90.02006</v>
      </c>
      <c r="AH14" s="7" t="n">
        <v>-89.75172999999999</v>
      </c>
      <c r="AI14" s="7" t="n">
        <v>-106.77464</v>
      </c>
      <c r="AJ14" s="7" t="n">
        <v>-104.48856</v>
      </c>
      <c r="AK14" s="7" t="n">
        <v>-110.14358</v>
      </c>
      <c r="AL14" s="7">
        <f>AVERAGE(B14:AK14)</f>
        <v/>
      </c>
    </row>
    <row r="15">
      <c r="A15" s="6" t="inlineStr">
        <is>
          <t>Deferred revenue</t>
        </is>
      </c>
      <c r="B15" s="7" t="n">
        <v>-102.55926</v>
      </c>
      <c r="C15" s="7" t="n">
        <v>-98.89264</v>
      </c>
      <c r="D15" s="7" t="n">
        <v>-104.12785</v>
      </c>
      <c r="E15" s="7" t="n">
        <v>-106.89215</v>
      </c>
      <c r="F15" s="7" t="n">
        <v>-102.03016</v>
      </c>
      <c r="G15" s="7" t="n">
        <v>-115.52268</v>
      </c>
      <c r="H15" s="7" t="n">
        <v>-110.40776</v>
      </c>
      <c r="I15" s="7" t="n">
        <v>-106.79938</v>
      </c>
      <c r="J15" s="7" t="n">
        <v>-113.57684</v>
      </c>
      <c r="K15" s="7" t="n">
        <v>-122.47229</v>
      </c>
      <c r="L15" s="7" t="n">
        <v>-120.80309</v>
      </c>
      <c r="M15" s="7" t="n">
        <v>-131.47311</v>
      </c>
      <c r="N15" s="7" t="n">
        <v>-107.19496</v>
      </c>
      <c r="O15" s="7" t="n">
        <v>-105.72877</v>
      </c>
      <c r="P15" s="7" t="n">
        <v>-112.08229</v>
      </c>
      <c r="Q15" s="7" t="n">
        <v>-119.25519</v>
      </c>
      <c r="R15" s="7" t="n">
        <v>-115.11047</v>
      </c>
      <c r="S15" s="7" t="n">
        <v>-124.6847</v>
      </c>
      <c r="T15" s="7" t="n">
        <v>-129.05335</v>
      </c>
      <c r="U15" s="7" t="n">
        <v>-129.15613</v>
      </c>
      <c r="V15" s="7" t="n">
        <v>-128.86465</v>
      </c>
      <c r="W15" s="7" t="n">
        <v>-147.65761</v>
      </c>
      <c r="X15" s="7" t="n">
        <v>-148.49902</v>
      </c>
      <c r="Y15" s="7" t="n">
        <v>-138.02646</v>
      </c>
      <c r="Z15" s="7" t="n">
        <v>-134.98069</v>
      </c>
      <c r="AA15" s="7" t="n">
        <v>-133.43828</v>
      </c>
      <c r="AB15" s="7" t="n">
        <v>-134.32235</v>
      </c>
      <c r="AC15" s="7" t="n">
        <v>-139.99029</v>
      </c>
      <c r="AD15" s="7" t="n">
        <v>-139.01746</v>
      </c>
      <c r="AE15" s="7" t="n">
        <v>-158.29314</v>
      </c>
      <c r="AF15" s="7" t="n">
        <v>-146.82469</v>
      </c>
      <c r="AG15" s="7" t="n">
        <v>-150.03343</v>
      </c>
      <c r="AH15" s="7" t="n">
        <v>-149.58621</v>
      </c>
      <c r="AI15" s="7" t="n">
        <v>-177.95774</v>
      </c>
      <c r="AJ15" s="7" t="n">
        <v>-174.14759</v>
      </c>
      <c r="AK15" s="7" t="n">
        <v>-183.57263</v>
      </c>
      <c r="AL15" s="7">
        <f>AVERAGE(B15:AK15)</f>
        <v/>
      </c>
    </row>
    <row r="16">
      <c r="A16" s="6" t="inlineStr">
        <is>
          <t>Long-term liabilities</t>
        </is>
      </c>
      <c r="B16" s="7" t="n">
        <v>-3516.43642</v>
      </c>
      <c r="C16" s="7" t="n">
        <v>-3769.31571</v>
      </c>
      <c r="D16" s="7" t="n">
        <v>-2546.96081</v>
      </c>
      <c r="E16" s="7" t="n">
        <v>-2151.68982</v>
      </c>
      <c r="F16" s="7" t="n">
        <v>-2575.43388</v>
      </c>
      <c r="G16" s="7" t="n">
        <v>-2045.96155</v>
      </c>
      <c r="H16" s="7" t="n">
        <v>-1024.31804</v>
      </c>
      <c r="I16" s="7" t="n">
        <v>-552.06175</v>
      </c>
      <c r="J16" s="7" t="n">
        <v>-681.5868</v>
      </c>
      <c r="K16" s="7" t="n">
        <v>-263.94147</v>
      </c>
      <c r="L16" s="7" t="n">
        <v/>
      </c>
      <c r="M16" s="7" t="n">
        <v/>
      </c>
      <c r="N16" s="7" t="n">
        <v/>
      </c>
      <c r="O16" s="7" t="n">
        <v/>
      </c>
      <c r="P16" s="7" t="n">
        <v/>
      </c>
      <c r="Q16" s="7" t="n">
        <v/>
      </c>
      <c r="R16" s="7" t="n">
        <v/>
      </c>
      <c r="S16" s="7" t="n">
        <v/>
      </c>
      <c r="T16" s="7" t="n">
        <v/>
      </c>
      <c r="U16" s="7" t="n">
        <v/>
      </c>
      <c r="V16" s="7" t="n">
        <v/>
      </c>
      <c r="W16" s="7" t="n">
        <v/>
      </c>
      <c r="X16" s="7" t="n">
        <v/>
      </c>
      <c r="Y16" s="7" t="n">
        <v/>
      </c>
      <c r="Z16" s="7" t="n">
        <v/>
      </c>
      <c r="AA16" s="7" t="n">
        <v/>
      </c>
      <c r="AB16" s="7" t="n">
        <v/>
      </c>
      <c r="AC16" s="7" t="n">
        <v/>
      </c>
      <c r="AD16" s="7" t="n">
        <v/>
      </c>
      <c r="AE16" s="7" t="n">
        <v/>
      </c>
      <c r="AF16" s="7" t="n">
        <v/>
      </c>
      <c r="AG16" s="7" t="n">
        <v/>
      </c>
      <c r="AH16" s="7" t="n">
        <v/>
      </c>
      <c r="AI16" s="7" t="n">
        <v/>
      </c>
      <c r="AJ16" s="7" t="n">
        <v/>
      </c>
      <c r="AK16" s="7" t="n">
        <v/>
      </c>
      <c r="AL16" s="7">
        <f>AVERAGE(B16:AK16)</f>
        <v/>
      </c>
    </row>
    <row r="17">
      <c r="A17" s="10" t="inlineStr">
        <is>
          <t>Total Liabilities</t>
        </is>
      </c>
      <c r="B17" s="7">
        <f>SUM(B13:B16)</f>
        <v/>
      </c>
      <c r="C17" s="7">
        <f>SUM(C13:C16)</f>
        <v/>
      </c>
      <c r="D17" s="7">
        <f>SUM(D13:D16)</f>
        <v/>
      </c>
      <c r="E17" s="7">
        <f>SUM(E13:E16)</f>
        <v/>
      </c>
      <c r="F17" s="7">
        <f>SUM(F13:F16)</f>
        <v/>
      </c>
      <c r="G17" s="7">
        <f>SUM(G13:G16)</f>
        <v/>
      </c>
      <c r="H17" s="7">
        <f>SUM(H13:H16)</f>
        <v/>
      </c>
      <c r="I17" s="7">
        <f>SUM(I13:I16)</f>
        <v/>
      </c>
      <c r="J17" s="7">
        <f>SUM(J13:J16)</f>
        <v/>
      </c>
      <c r="K17" s="7">
        <f>SUM(K13:K16)</f>
        <v/>
      </c>
      <c r="L17" s="7">
        <f>SUM(L13:L16)</f>
        <v/>
      </c>
      <c r="M17" s="7">
        <f>SUM(M13:M16)</f>
        <v/>
      </c>
      <c r="N17" s="7">
        <f>SUM(N13:N16)</f>
        <v/>
      </c>
      <c r="O17" s="7">
        <f>SUM(O13:O16)</f>
        <v/>
      </c>
      <c r="P17" s="7">
        <f>SUM(P13:P16)</f>
        <v/>
      </c>
      <c r="Q17" s="7">
        <f>SUM(Q13:Q16)</f>
        <v/>
      </c>
      <c r="R17" s="7">
        <f>SUM(R13:R16)</f>
        <v/>
      </c>
      <c r="S17" s="7">
        <f>SUM(S13:S16)</f>
        <v/>
      </c>
      <c r="T17" s="7">
        <f>SUM(T13:T16)</f>
        <v/>
      </c>
      <c r="U17" s="7">
        <f>SUM(U13:U16)</f>
        <v/>
      </c>
      <c r="V17" s="7">
        <f>SUM(V13:V16)</f>
        <v/>
      </c>
      <c r="W17" s="7">
        <f>SUM(W13:W16)</f>
        <v/>
      </c>
      <c r="X17" s="7">
        <f>SUM(X13:X16)</f>
        <v/>
      </c>
      <c r="Y17" s="7">
        <f>SUM(Y13:Y16)</f>
        <v/>
      </c>
      <c r="Z17" s="7">
        <f>SUM(Z13:Z16)</f>
        <v/>
      </c>
      <c r="AA17" s="7">
        <f>SUM(AA13:AA16)</f>
        <v/>
      </c>
      <c r="AB17" s="7">
        <f>SUM(AB13:AB16)</f>
        <v/>
      </c>
      <c r="AC17" s="7">
        <f>SUM(AC13:AC16)</f>
        <v/>
      </c>
      <c r="AD17" s="7">
        <f>SUM(AD13:AD16)</f>
        <v/>
      </c>
      <c r="AE17" s="7">
        <f>SUM(AE13:AE16)</f>
        <v/>
      </c>
      <c r="AF17" s="7">
        <f>SUM(AF13:AF16)</f>
        <v/>
      </c>
      <c r="AG17" s="7">
        <f>SUM(AG13:AG16)</f>
        <v/>
      </c>
      <c r="AH17" s="7">
        <f>SUM(AH13:AH16)</f>
        <v/>
      </c>
      <c r="AI17" s="7">
        <f>SUM(AI13:AI16)</f>
        <v/>
      </c>
      <c r="AJ17" s="7">
        <f>SUM(AJ13:AJ16)</f>
        <v/>
      </c>
      <c r="AK17" s="7">
        <f>SUM(AK13:AK16)</f>
        <v/>
      </c>
      <c r="AL17" s="7">
        <f>AVERAGE(B17:AK17)</f>
        <v/>
      </c>
    </row>
    <row r="18">
      <c r="A18" s="9" t="inlineStr">
        <is>
          <t>Equity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</row>
    <row r="19">
      <c r="A19" s="6" t="inlineStr">
        <is>
          <t>Common stock</t>
        </is>
      </c>
      <c r="B19" s="7" t="n">
        <v>-1181.86299</v>
      </c>
      <c r="C19" s="7" t="n">
        <v>-1181.86299</v>
      </c>
      <c r="D19" s="7" t="n">
        <v>-1181.86299</v>
      </c>
      <c r="E19" s="7" t="n">
        <v>-1181.86299</v>
      </c>
      <c r="F19" s="7" t="n">
        <v>-1181.86299</v>
      </c>
      <c r="G19" s="7" t="n">
        <v>-1181.86299</v>
      </c>
      <c r="H19" s="7" t="n">
        <v>-1181.86299</v>
      </c>
      <c r="I19" s="7" t="n">
        <v>-1181.86299</v>
      </c>
      <c r="J19" s="7" t="n">
        <v>-1181.86299</v>
      </c>
      <c r="K19" s="7" t="n">
        <v>-1181.86299</v>
      </c>
      <c r="L19" s="7" t="n">
        <v>-1181.86299</v>
      </c>
      <c r="M19" s="7" t="n">
        <v>-1181.86299</v>
      </c>
      <c r="N19" s="7" t="n">
        <v>-1181.86299</v>
      </c>
      <c r="O19" s="7" t="n">
        <v>-1181.86299</v>
      </c>
      <c r="P19" s="7" t="n">
        <v>-1181.86299</v>
      </c>
      <c r="Q19" s="7" t="n">
        <v>-1181.86299</v>
      </c>
      <c r="R19" s="7" t="n">
        <v>-1181.86299</v>
      </c>
      <c r="S19" s="7" t="n">
        <v>-1181.86299</v>
      </c>
      <c r="T19" s="7" t="n">
        <v>-1181.86299</v>
      </c>
      <c r="U19" s="7" t="n">
        <v>-1181.86299</v>
      </c>
      <c r="V19" s="7" t="n">
        <v>-1181.86299</v>
      </c>
      <c r="W19" s="7" t="n">
        <v>-1181.86299</v>
      </c>
      <c r="X19" s="7" t="n">
        <v>-1181.86299</v>
      </c>
      <c r="Y19" s="7" t="n">
        <v>-1181.86299</v>
      </c>
      <c r="Z19" s="7" t="n">
        <v>-1181.86299</v>
      </c>
      <c r="AA19" s="7" t="n">
        <v>-1181.86299</v>
      </c>
      <c r="AB19" s="7" t="n">
        <v>-1181.86299</v>
      </c>
      <c r="AC19" s="7" t="n">
        <v>-1181.86299</v>
      </c>
      <c r="AD19" s="7" t="n">
        <v>-1181.86299</v>
      </c>
      <c r="AE19" s="7" t="n">
        <v>-1181.86299</v>
      </c>
      <c r="AF19" s="7" t="n">
        <v>-1181.86299</v>
      </c>
      <c r="AG19" s="7" t="n">
        <v>-1181.86299</v>
      </c>
      <c r="AH19" s="7" t="n">
        <v>-1181.86299</v>
      </c>
      <c r="AI19" s="7" t="n">
        <v>-1181.86299</v>
      </c>
      <c r="AJ19" s="7" t="n">
        <v>-1181.86299</v>
      </c>
      <c r="AK19" s="7" t="n">
        <v>-1181.86299</v>
      </c>
      <c r="AL19" s="7">
        <f>AVERAGE(B19:AK19)</f>
        <v/>
      </c>
    </row>
    <row r="20">
      <c r="A20" s="6" t="inlineStr">
        <is>
          <t>Retained earnings</t>
        </is>
      </c>
      <c r="B20" s="7" t="n">
        <v>-395.87874</v>
      </c>
      <c r="C20" s="7" t="n">
        <v>-777.60433</v>
      </c>
      <c r="D20" s="7" t="n">
        <v>-1179.53782</v>
      </c>
      <c r="E20" s="7" t="n">
        <v>-1592.1415</v>
      </c>
      <c r="F20" s="7" t="n">
        <v>-1985.97793</v>
      </c>
      <c r="G20" s="7" t="n">
        <v>-2431.89546</v>
      </c>
      <c r="H20" s="7" t="n">
        <v>-2858.0694</v>
      </c>
      <c r="I20" s="7" t="n">
        <v>-3270.31503</v>
      </c>
      <c r="J20" s="7" t="n">
        <v>-3708.72163</v>
      </c>
      <c r="K20" s="7" t="n">
        <v>-4181.46465</v>
      </c>
      <c r="L20" s="7" t="n">
        <v>-4647.76458</v>
      </c>
      <c r="M20" s="7" t="n">
        <v>-5155.25079</v>
      </c>
      <c r="N20" s="7" t="n">
        <v>-5569.023349999999</v>
      </c>
      <c r="O20" s="7" t="n">
        <v>-5977.13639</v>
      </c>
      <c r="P20" s="7" t="n">
        <v>-6409.77405</v>
      </c>
      <c r="Q20" s="7" t="n">
        <v>-6870.099099999999</v>
      </c>
      <c r="R20" s="7" t="n">
        <v>-7314.42552</v>
      </c>
      <c r="S20" s="7" t="n">
        <v>-7795.70845</v>
      </c>
      <c r="T20" s="7" t="n">
        <v>-8293.854370000001</v>
      </c>
      <c r="U20" s="7" t="n">
        <v>-8792.39702</v>
      </c>
      <c r="V20" s="7" t="n">
        <v>-9289.81458</v>
      </c>
      <c r="W20" s="7" t="n">
        <v>-9859.772949999999</v>
      </c>
      <c r="X20" s="7" t="n">
        <v>-10432.97919</v>
      </c>
      <c r="Y20" s="7" t="n">
        <v>-10965.76134</v>
      </c>
      <c r="Z20" s="7" t="n">
        <v>-11486.78681</v>
      </c>
      <c r="AA20" s="7" t="n">
        <v>-12001.85859</v>
      </c>
      <c r="AB20" s="7" t="n">
        <v>-12520.34286</v>
      </c>
      <c r="AC20" s="7" t="n">
        <v>-13060.70537</v>
      </c>
      <c r="AD20" s="7" t="n">
        <v>-13597.31277</v>
      </c>
      <c r="AE20" s="7" t="n">
        <v>-14208.32428</v>
      </c>
      <c r="AF20" s="7" t="n">
        <v>-14775.06758</v>
      </c>
      <c r="AG20" s="7" t="n">
        <v>-15354.19664</v>
      </c>
      <c r="AH20" s="7" t="n">
        <v>-15931.59942</v>
      </c>
      <c r="AI20" s="7" t="n">
        <v>-16618.5163</v>
      </c>
      <c r="AJ20" s="7" t="n">
        <v>-17290.72601</v>
      </c>
      <c r="AK20" s="7" t="n">
        <v>-17999.31638</v>
      </c>
      <c r="AL20" s="7">
        <f>AVERAGE(B20:AK20)</f>
        <v/>
      </c>
    </row>
    <row r="21">
      <c r="A21" s="10" t="inlineStr">
        <is>
          <t>Total Equity</t>
        </is>
      </c>
      <c r="B21" s="7">
        <f>SUM(B19:B20)</f>
        <v/>
      </c>
      <c r="C21" s="7">
        <f>SUM(C19:C20)</f>
        <v/>
      </c>
      <c r="D21" s="7">
        <f>SUM(D19:D20)</f>
        <v/>
      </c>
      <c r="E21" s="7">
        <f>SUM(E19:E20)</f>
        <v/>
      </c>
      <c r="F21" s="7">
        <f>SUM(F19:F20)</f>
        <v/>
      </c>
      <c r="G21" s="7">
        <f>SUM(G19:G20)</f>
        <v/>
      </c>
      <c r="H21" s="7">
        <f>SUM(H19:H20)</f>
        <v/>
      </c>
      <c r="I21" s="7">
        <f>SUM(I19:I20)</f>
        <v/>
      </c>
      <c r="J21" s="7">
        <f>SUM(J19:J20)</f>
        <v/>
      </c>
      <c r="K21" s="7">
        <f>SUM(K19:K20)</f>
        <v/>
      </c>
      <c r="L21" s="7">
        <f>SUM(L19:L20)</f>
        <v/>
      </c>
      <c r="M21" s="7">
        <f>SUM(M19:M20)</f>
        <v/>
      </c>
      <c r="N21" s="7">
        <f>SUM(N19:N20)</f>
        <v/>
      </c>
      <c r="O21" s="7">
        <f>SUM(O19:O20)</f>
        <v/>
      </c>
      <c r="P21" s="7">
        <f>SUM(P19:P20)</f>
        <v/>
      </c>
      <c r="Q21" s="7">
        <f>SUM(Q19:Q20)</f>
        <v/>
      </c>
      <c r="R21" s="7">
        <f>SUM(R19:R20)</f>
        <v/>
      </c>
      <c r="S21" s="7">
        <f>SUM(S19:S20)</f>
        <v/>
      </c>
      <c r="T21" s="7">
        <f>SUM(T19:T20)</f>
        <v/>
      </c>
      <c r="U21" s="7">
        <f>SUM(U19:U20)</f>
        <v/>
      </c>
      <c r="V21" s="7">
        <f>SUM(V19:V20)</f>
        <v/>
      </c>
      <c r="W21" s="7">
        <f>SUM(W19:W20)</f>
        <v/>
      </c>
      <c r="X21" s="7">
        <f>SUM(X19:X20)</f>
        <v/>
      </c>
      <c r="Y21" s="7">
        <f>SUM(Y19:Y20)</f>
        <v/>
      </c>
      <c r="Z21" s="7">
        <f>SUM(Z19:Z20)</f>
        <v/>
      </c>
      <c r="AA21" s="7">
        <f>SUM(AA19:AA20)</f>
        <v/>
      </c>
      <c r="AB21" s="7">
        <f>SUM(AB19:AB20)</f>
        <v/>
      </c>
      <c r="AC21" s="7">
        <f>SUM(AC19:AC20)</f>
        <v/>
      </c>
      <c r="AD21" s="7">
        <f>SUM(AD19:AD20)</f>
        <v/>
      </c>
      <c r="AE21" s="7">
        <f>SUM(AE19:AE20)</f>
        <v/>
      </c>
      <c r="AF21" s="7">
        <f>SUM(AF19:AF20)</f>
        <v/>
      </c>
      <c r="AG21" s="7">
        <f>SUM(AG19:AG20)</f>
        <v/>
      </c>
      <c r="AH21" s="7">
        <f>SUM(AH19:AH20)</f>
        <v/>
      </c>
      <c r="AI21" s="7">
        <f>SUM(AI19:AI20)</f>
        <v/>
      </c>
      <c r="AJ21" s="7">
        <f>SUM(AJ19:AJ20)</f>
        <v/>
      </c>
      <c r="AK21" s="7">
        <f>SUM(AK19:AK20)</f>
        <v/>
      </c>
      <c r="AL21" s="7">
        <f>AVERAGE(B21:AK21)</f>
        <v/>
      </c>
    </row>
    <row r="22">
      <c r="A22" s="8" t="inlineStr">
        <is>
          <t>Balance Check (A - (L+E))</t>
        </is>
      </c>
      <c r="B22" s="11">
        <f>B11-(B17+B21)</f>
        <v/>
      </c>
      <c r="C22" s="11">
        <f>C11-(C17+C21)</f>
        <v/>
      </c>
      <c r="D22" s="11">
        <f>D11-(D17+D21)</f>
        <v/>
      </c>
      <c r="E22" s="11">
        <f>E11-(E17+E21)</f>
        <v/>
      </c>
      <c r="F22" s="11">
        <f>F11-(F17+F21)</f>
        <v/>
      </c>
      <c r="G22" s="11">
        <f>G11-(G17+G21)</f>
        <v/>
      </c>
      <c r="H22" s="11">
        <f>H11-(H17+H21)</f>
        <v/>
      </c>
      <c r="I22" s="11">
        <f>I11-(I17+I21)</f>
        <v/>
      </c>
      <c r="J22" s="11">
        <f>J11-(J17+J21)</f>
        <v/>
      </c>
      <c r="K22" s="11">
        <f>K11-(K17+K21)</f>
        <v/>
      </c>
      <c r="L22" s="11">
        <f>L11-(L17+L21)</f>
        <v/>
      </c>
      <c r="M22" s="11">
        <f>M11-(M17+M21)</f>
        <v/>
      </c>
      <c r="N22" s="11">
        <f>N11-(N17+N21)</f>
        <v/>
      </c>
      <c r="O22" s="11">
        <f>O11-(O17+O21)</f>
        <v/>
      </c>
      <c r="P22" s="11">
        <f>P11-(P17+P21)</f>
        <v/>
      </c>
      <c r="Q22" s="11">
        <f>Q11-(Q17+Q21)</f>
        <v/>
      </c>
      <c r="R22" s="11">
        <f>R11-(R17+R21)</f>
        <v/>
      </c>
      <c r="S22" s="11">
        <f>S11-(S17+S21)</f>
        <v/>
      </c>
      <c r="T22" s="11">
        <f>T11-(T17+T21)</f>
        <v/>
      </c>
      <c r="U22" s="11">
        <f>U11-(U17+U21)</f>
        <v/>
      </c>
      <c r="V22" s="11">
        <f>V11-(V17+V21)</f>
        <v/>
      </c>
      <c r="W22" s="11">
        <f>W11-(W17+W21)</f>
        <v/>
      </c>
      <c r="X22" s="11">
        <f>X11-(X17+X21)</f>
        <v/>
      </c>
      <c r="Y22" s="11">
        <f>Y11-(Y17+Y21)</f>
        <v/>
      </c>
      <c r="Z22" s="11">
        <f>Z11-(Z17+Z21)</f>
        <v/>
      </c>
      <c r="AA22" s="11">
        <f>AA11-(AA17+AA21)</f>
        <v/>
      </c>
      <c r="AB22" s="11">
        <f>AB11-(AB17+AB21)</f>
        <v/>
      </c>
      <c r="AC22" s="11">
        <f>AC11-(AC17+AC21)</f>
        <v/>
      </c>
      <c r="AD22" s="11">
        <f>AD11-(AD17+AD21)</f>
        <v/>
      </c>
      <c r="AE22" s="11">
        <f>AE11-(AE17+AE21)</f>
        <v/>
      </c>
      <c r="AF22" s="11">
        <f>AF11-(AF17+AF21)</f>
        <v/>
      </c>
      <c r="AG22" s="11">
        <f>AG11-(AG17+AG21)</f>
        <v/>
      </c>
      <c r="AH22" s="11">
        <f>AH11-(AH17+AH21)</f>
        <v/>
      </c>
      <c r="AI22" s="11">
        <f>AI11-(AI17+AI21)</f>
        <v/>
      </c>
      <c r="AJ22" s="11">
        <f>AJ11-(AJ17+AJ21)</f>
        <v/>
      </c>
      <c r="AK22" s="11">
        <f>AK11-(AK17+AK21)</f>
        <v/>
      </c>
      <c r="AL22" s="11">
        <f>AVERAGE(B22:AK22)</f>
        <v/>
      </c>
    </row>
    <row r="24">
      <c r="A24" s="10" t="inlineStr">
        <is>
          <t>Average balance presentation (separate block)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</row>
    <row r="25">
      <c r="A25" s="6" t="inlineStr">
        <is>
          <t>Average Total Assets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7">
        <f>AVERAGE(B11:AK11)</f>
        <v/>
      </c>
    </row>
    <row r="26">
      <c r="A26" s="6" t="inlineStr">
        <is>
          <t>Average Total Liabilities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7">
        <f>AVERAGE(B17:AK17)</f>
        <v/>
      </c>
    </row>
    <row r="27">
      <c r="A27" s="6" t="inlineStr">
        <is>
          <t>Average Total Equity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7">
        <f>AVERAGE(B21:AK21)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2026-02-19T21:14:34Z</dcterms:created>
  <dcterms:modified xsi:type="dcterms:W3CDTF">2026-02-19T21:14:34Z</dcterms:modified>
</cp:coreProperties>
</file>